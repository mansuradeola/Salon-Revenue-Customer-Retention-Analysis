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8520" firstSheet="3" activeTab="4"/>
  </bookViews>
  <sheets>
    <sheet name="Improving Salon Revenue and Cus" sheetId="1" r:id="rId1"/>
    <sheet name="What day's are the slowest" sheetId="6" r:id="rId2"/>
    <sheet name="when should the salon run promo" sheetId="3" r:id="rId3"/>
    <sheet name="Highest revenue servise" sheetId="4" r:id="rId4"/>
    <sheet name="Increase repeat customers" sheetId="5" r:id="rId5"/>
  </sheets>
  <definedNames>
    <definedName name="_xlnm._FilterDatabase" localSheetId="0" hidden="1">'Improving Salon Revenue and Cus'!$A$1:$O$51</definedName>
  </definedNames>
  <calcPr calcId="144525"/>
  <pivotCaches>
    <pivotCache cacheId="1" r:id="rId6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</calcChain>
</file>

<file path=xl/sharedStrings.xml><?xml version="1.0" encoding="utf-8"?>
<sst xmlns="http://schemas.openxmlformats.org/spreadsheetml/2006/main" count="510" uniqueCount="109">
  <si>
    <t>Transaction_ID</t>
  </si>
  <si>
    <t>Date</t>
  </si>
  <si>
    <t>Day_of_Week</t>
  </si>
  <si>
    <t>Time</t>
  </si>
  <si>
    <t>Customer_ID</t>
  </si>
  <si>
    <t>Gender</t>
  </si>
  <si>
    <t>Service</t>
  </si>
  <si>
    <t>Service_Category</t>
  </si>
  <si>
    <t>Price</t>
  </si>
  <si>
    <t>Payment_Method</t>
  </si>
  <si>
    <t>Is_Returning_Customer</t>
  </si>
  <si>
    <t>Staff_Assigned</t>
  </si>
  <si>
    <t>T001</t>
  </si>
  <si>
    <t>Friday</t>
  </si>
  <si>
    <t>C001</t>
  </si>
  <si>
    <t>Male</t>
  </si>
  <si>
    <t>Haircut</t>
  </si>
  <si>
    <t>Hair</t>
  </si>
  <si>
    <t>Cash</t>
  </si>
  <si>
    <t>No</t>
  </si>
  <si>
    <t>Mansur</t>
  </si>
  <si>
    <t>T002</t>
  </si>
  <si>
    <t>C002</t>
  </si>
  <si>
    <t>Female</t>
  </si>
  <si>
    <t>Braids</t>
  </si>
  <si>
    <t>Styling</t>
  </si>
  <si>
    <t>Transfer</t>
  </si>
  <si>
    <t>Yes</t>
  </si>
  <si>
    <t>Chioma</t>
  </si>
  <si>
    <t>T003</t>
  </si>
  <si>
    <t>C003</t>
  </si>
  <si>
    <t>Beard Trim</t>
  </si>
  <si>
    <t>Grooming</t>
  </si>
  <si>
    <t>John</t>
  </si>
  <si>
    <t>T004</t>
  </si>
  <si>
    <t>C004</t>
  </si>
  <si>
    <t>Weave Installation</t>
  </si>
  <si>
    <t>T005</t>
  </si>
  <si>
    <t>POS</t>
  </si>
  <si>
    <t>T006</t>
  </si>
  <si>
    <t>Saturday</t>
  </si>
  <si>
    <t>Pedicure</t>
  </si>
  <si>
    <t>Beauty</t>
  </si>
  <si>
    <t>Aisha</t>
  </si>
  <si>
    <t>T007</t>
  </si>
  <si>
    <t>T008</t>
  </si>
  <si>
    <t>T009</t>
  </si>
  <si>
    <t>T010</t>
  </si>
  <si>
    <t>Wig Styling</t>
  </si>
  <si>
    <t>T011</t>
  </si>
  <si>
    <t>Sunday</t>
  </si>
  <si>
    <t>T012</t>
  </si>
  <si>
    <t>Manicure</t>
  </si>
  <si>
    <t>T013</t>
  </si>
  <si>
    <t>T014</t>
  </si>
  <si>
    <t>Monday</t>
  </si>
  <si>
    <t>T015</t>
  </si>
  <si>
    <t>T016</t>
  </si>
  <si>
    <t>Wig Installation</t>
  </si>
  <si>
    <t>T017</t>
  </si>
  <si>
    <t>Tuesday</t>
  </si>
  <si>
    <t>T018</t>
  </si>
  <si>
    <t>T019</t>
  </si>
  <si>
    <t>T020</t>
  </si>
  <si>
    <t>Wednesday</t>
  </si>
  <si>
    <t>T021</t>
  </si>
  <si>
    <t>T022</t>
  </si>
  <si>
    <t>T023</t>
  </si>
  <si>
    <t>Thursday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</si>
  <si>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</si>
  <si>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</si>
  <si>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</si>
  <si>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</si>
  <si>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</si>
  <si>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</si>
  <si>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</si>
  <si>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</si>
  <si>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</si>
  <si>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</si>
  <si>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</si>
  <si>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</si>
  <si>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</si>
  <si>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</si>
  <si>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</si>
  <si>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</si>
  <si>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</si>
  <si>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</si>
  <si>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</si>
  <si>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</si>
  <si>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</si>
  <si>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</si>
  <si>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</si>
  <si>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</si>
  <si>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</si>
  <si>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</si>
  <si>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</si>
  <si>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Hour</t>
  </si>
  <si>
    <t>Time_Bucket</t>
  </si>
  <si>
    <t>Week_Type</t>
  </si>
  <si>
    <t>Row Labels</t>
  </si>
  <si>
    <t>Grand Total</t>
  </si>
  <si>
    <t>Count of Transaction_ID</t>
  </si>
  <si>
    <t>(All)</t>
  </si>
  <si>
    <t>Sum of Price</t>
  </si>
  <si>
    <t>Morning</t>
  </si>
  <si>
    <t>Afternoon</t>
  </si>
  <si>
    <t>Evening</t>
  </si>
  <si>
    <t>Column Labels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</si>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</sst>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4" fontId="16" fillId="0" borderId="0" xfId="0" applyNumberFormat="1" applyFont="1"/>
    <xf numFmtId="4" fontId="0" fillId="0" borderId="0" xfId="0" applyNumberFormat="1"/>
    <xf numFmtId="0" fontId="0" fillId="0" borderId="0" xfId="0" applyNumberFormat="1"/>
    <xf numFmtId="0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h:mm;@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2.211065162039" createdVersion="4" refreshedVersion="4" minRefreshableVersion="3" recordCount="50">
  <cacheSource type="worksheet">
    <worksheetSource name="Table1"/>
  </cacheSource>
  <cacheFields count="15">
    <cacheField name="Transaction_ID" numFmtId="0">
      <sharedItems count="5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s v="T031"/>
        <s v="T032"/>
        <s v="T033"/>
        <s v="T034"/>
        <s v="T035"/>
        <s v="T036"/>
        <s v="T037"/>
        <s v="T038"/>
        <s v="T039"/>
        <s v="T040"/>
        <s v="T041"/>
        <s v="T042"/>
        <s v="T043"/>
        <s v="T044"/>
        <s v="T045"/>
        <s v="T046"/>
        <s v="T047"/>
        <s v="T048"/>
        <s v="T049"/>
        <s v="T050"/>
      </sharedItems>
    </cacheField>
    <cacheField name="Date" numFmtId="14">
      <sharedItems containsSemiMixedTypes="0" containsNonDate="0" containsDate="1" containsString="0" minDate="2026-01-02T00:00:00" maxDate="2026-01-17T00:00:00"/>
    </cacheField>
    <cacheField name="Day_of_Week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Time" numFmtId="164">
      <sharedItems containsSemiMixedTypes="0" containsNonDate="0" containsDate="1" containsString="0" minDate="1899-12-30T09:05:00" maxDate="1899-12-30T17:30:00"/>
    </cacheField>
    <cacheField name="Hour" numFmtId="0">
      <sharedItems containsSemiMixedTypes="0" containsString="0" containsNumber="1" containsInteger="1" minValue="9" maxValue="17" count="9">
        <n v="9"/>
        <n v="10"/>
        <n v="12"/>
        <n v="14"/>
        <n v="16"/>
        <n v="11"/>
        <n v="13"/>
        <n v="17"/>
        <n v="15"/>
      </sharedItems>
    </cacheField>
    <cacheField name="Time_Bucket" numFmtId="0">
      <sharedItems count="3">
        <s v="Morning"/>
        <s v="Afternoon"/>
        <s v="Evening"/>
      </sharedItems>
    </cacheField>
    <cacheField name="Week_Type" numFmtId="0">
      <sharedItems count="2">
        <s v="Weekday"/>
        <s v="Weekend"/>
      </sharedItems>
    </cacheField>
    <cacheField name="Customer_ID" numFmtId="0">
      <sharedItems count="4">
        <s v="C001"/>
        <s v="C004"/>
        <s v="C003"/>
        <s v="C002"/>
      </sharedItems>
    </cacheField>
    <cacheField name="Gender" numFmtId="0">
      <sharedItems/>
    </cacheField>
    <cacheField name="Service" numFmtId="0">
      <sharedItems count="8">
        <s v="Haircut"/>
        <s v="Braids"/>
        <s v="Beard Trim"/>
        <s v="Weave Installation"/>
        <s v="Pedicure"/>
        <s v="Wig Styling"/>
        <s v="Manicure"/>
        <s v="Wig Installation"/>
      </sharedItems>
    </cacheField>
    <cacheField name="Service_Category" numFmtId="0">
      <sharedItems count="4">
        <s v="Hair"/>
        <s v="Styling"/>
        <s v="Grooming"/>
        <s v="Beauty"/>
      </sharedItems>
    </cacheField>
    <cacheField name="Price" numFmtId="4">
      <sharedItems containsSemiMixedTypes="0" containsString="0" containsNumber="1" containsInteger="1" minValue="1500" maxValue="12000" count="10">
        <n v="3000"/>
        <n v="8000"/>
        <n v="1500"/>
        <n v="12000"/>
        <n v="5000"/>
        <n v="9000"/>
        <n v="7000"/>
        <n v="4000"/>
        <n v="8500"/>
        <n v="11000"/>
      </sharedItems>
    </cacheField>
    <cacheField name="Payment_Method" numFmtId="0">
      <sharedItems/>
    </cacheField>
    <cacheField name="Is_Returning_Customer" numFmtId="0">
      <sharedItems count="2">
        <s v="No"/>
        <s v="Yes"/>
      </sharedItems>
    </cacheField>
    <cacheField name="Staff_Assig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d v="2026-01-02T00:00:00"/>
    <x v="0"/>
    <d v="1899-12-30T09:15:00"/>
    <x v="0"/>
    <x v="0"/>
    <x v="0"/>
    <x v="0"/>
    <s v="Male"/>
    <x v="0"/>
    <x v="0"/>
    <x v="0"/>
    <s v="Cash"/>
    <x v="0"/>
    <s v="Mansur"/>
  </r>
  <r>
    <x v="1"/>
    <d v="2026-01-02T00:00:00"/>
    <x v="0"/>
    <d v="1899-12-30T10:30:00"/>
    <x v="1"/>
    <x v="0"/>
    <x v="0"/>
    <x v="1"/>
    <s v="Female"/>
    <x v="1"/>
    <x v="1"/>
    <x v="1"/>
    <s v="Transfer"/>
    <x v="1"/>
    <s v="Chioma"/>
  </r>
  <r>
    <x v="2"/>
    <d v="2026-01-02T00:00:00"/>
    <x v="0"/>
    <d v="1899-12-30T12:00:00"/>
    <x v="2"/>
    <x v="1"/>
    <x v="0"/>
    <x v="2"/>
    <s v="Male"/>
    <x v="2"/>
    <x v="2"/>
    <x v="2"/>
    <s v="Cash"/>
    <x v="1"/>
    <s v="John"/>
  </r>
  <r>
    <x v="3"/>
    <d v="2026-01-02T00:00:00"/>
    <x v="0"/>
    <d v="1899-12-30T14:10:00"/>
    <x v="3"/>
    <x v="1"/>
    <x v="0"/>
    <x v="1"/>
    <s v="Female"/>
    <x v="3"/>
    <x v="1"/>
    <x v="3"/>
    <s v="Transfer"/>
    <x v="0"/>
    <s v="Chioma"/>
  </r>
  <r>
    <x v="4"/>
    <d v="2026-01-02T00:00:00"/>
    <x v="0"/>
    <d v="1899-12-30T16:45:00"/>
    <x v="4"/>
    <x v="2"/>
    <x v="0"/>
    <x v="0"/>
    <s v="Male"/>
    <x v="0"/>
    <x v="0"/>
    <x v="0"/>
    <s v="POS"/>
    <x v="1"/>
    <s v="Mansur"/>
  </r>
  <r>
    <x v="5"/>
    <d v="2026-01-03T00:00:00"/>
    <x v="1"/>
    <d v="1899-12-30T09:05:00"/>
    <x v="0"/>
    <x v="0"/>
    <x v="1"/>
    <x v="3"/>
    <s v="Female"/>
    <x v="4"/>
    <x v="3"/>
    <x v="4"/>
    <s v="Transfer"/>
    <x v="1"/>
    <s v="Aisha"/>
  </r>
  <r>
    <x v="6"/>
    <d v="2026-01-03T00:00:00"/>
    <x v="1"/>
    <d v="1899-12-30T10:20:00"/>
    <x v="1"/>
    <x v="0"/>
    <x v="1"/>
    <x v="2"/>
    <s v="Male"/>
    <x v="0"/>
    <x v="0"/>
    <x v="0"/>
    <s v="Cash"/>
    <x v="0"/>
    <s v="John"/>
  </r>
  <r>
    <x v="7"/>
    <d v="2026-01-03T00:00:00"/>
    <x v="1"/>
    <d v="1899-12-30T11:50:00"/>
    <x v="5"/>
    <x v="0"/>
    <x v="1"/>
    <x v="1"/>
    <s v="Female"/>
    <x v="1"/>
    <x v="1"/>
    <x v="5"/>
    <s v="POS"/>
    <x v="1"/>
    <s v="Chioma"/>
  </r>
  <r>
    <x v="8"/>
    <d v="2026-01-03T00:00:00"/>
    <x v="1"/>
    <d v="1899-12-30T13:30:00"/>
    <x v="6"/>
    <x v="1"/>
    <x v="1"/>
    <x v="0"/>
    <s v="Male"/>
    <x v="0"/>
    <x v="0"/>
    <x v="0"/>
    <s v="Transfer"/>
    <x v="1"/>
    <s v="Mansur"/>
  </r>
  <r>
    <x v="9"/>
    <d v="2026-01-03T00:00:00"/>
    <x v="1"/>
    <d v="1899-12-30T17:00:00"/>
    <x v="7"/>
    <x v="2"/>
    <x v="1"/>
    <x v="1"/>
    <s v="Female"/>
    <x v="5"/>
    <x v="1"/>
    <x v="6"/>
    <s v="POS"/>
    <x v="0"/>
    <s v="Chioma"/>
  </r>
  <r>
    <x v="10"/>
    <d v="2026-01-04T00:00:00"/>
    <x v="2"/>
    <d v="1899-12-30T10:00:00"/>
    <x v="1"/>
    <x v="0"/>
    <x v="1"/>
    <x v="0"/>
    <s v="Male"/>
    <x v="0"/>
    <x v="0"/>
    <x v="0"/>
    <s v="Cash"/>
    <x v="1"/>
    <s v="Mansur"/>
  </r>
  <r>
    <x v="11"/>
    <d v="2026-01-04T00:00:00"/>
    <x v="2"/>
    <d v="1899-12-30T12:10:00"/>
    <x v="2"/>
    <x v="1"/>
    <x v="1"/>
    <x v="3"/>
    <s v="Female"/>
    <x v="6"/>
    <x v="3"/>
    <x v="7"/>
    <s v="Transfer"/>
    <x v="0"/>
    <s v="Aisha"/>
  </r>
  <r>
    <x v="12"/>
    <d v="2026-01-04T00:00:00"/>
    <x v="2"/>
    <d v="1899-12-30T14:30:00"/>
    <x v="3"/>
    <x v="1"/>
    <x v="1"/>
    <x v="2"/>
    <s v="Male"/>
    <x v="2"/>
    <x v="2"/>
    <x v="2"/>
    <s v="Cash"/>
    <x v="1"/>
    <s v="John"/>
  </r>
  <r>
    <x v="13"/>
    <d v="2026-01-05T00:00:00"/>
    <x v="3"/>
    <d v="1899-12-30T11:20:00"/>
    <x v="5"/>
    <x v="0"/>
    <x v="0"/>
    <x v="1"/>
    <s v="Female"/>
    <x v="1"/>
    <x v="1"/>
    <x v="8"/>
    <s v="Transfer"/>
    <x v="0"/>
    <s v="Chioma"/>
  </r>
  <r>
    <x v="14"/>
    <d v="2026-01-05T00:00:00"/>
    <x v="3"/>
    <d v="1899-12-30T13:00:00"/>
    <x v="6"/>
    <x v="1"/>
    <x v="0"/>
    <x v="0"/>
    <s v="Male"/>
    <x v="0"/>
    <x v="0"/>
    <x v="0"/>
    <s v="POS"/>
    <x v="1"/>
    <s v="Mansur"/>
  </r>
  <r>
    <x v="15"/>
    <d v="2026-01-05T00:00:00"/>
    <x v="3"/>
    <d v="1899-12-30T15:30:00"/>
    <x v="8"/>
    <x v="1"/>
    <x v="0"/>
    <x v="1"/>
    <s v="Female"/>
    <x v="7"/>
    <x v="1"/>
    <x v="9"/>
    <s v="Transfer"/>
    <x v="1"/>
    <s v="Chioma"/>
  </r>
  <r>
    <x v="16"/>
    <d v="2026-01-06T00:00:00"/>
    <x v="4"/>
    <d v="1899-12-30T09:40:00"/>
    <x v="0"/>
    <x v="0"/>
    <x v="0"/>
    <x v="2"/>
    <s v="Male"/>
    <x v="0"/>
    <x v="0"/>
    <x v="0"/>
    <s v="Cash"/>
    <x v="0"/>
    <s v="John"/>
  </r>
  <r>
    <x v="17"/>
    <d v="2026-01-06T00:00:00"/>
    <x v="4"/>
    <d v="1899-12-30T12:00:00"/>
    <x v="2"/>
    <x v="1"/>
    <x v="0"/>
    <x v="3"/>
    <s v="Female"/>
    <x v="4"/>
    <x v="3"/>
    <x v="4"/>
    <s v="POS"/>
    <x v="1"/>
    <s v="Aisha"/>
  </r>
  <r>
    <x v="18"/>
    <d v="2026-01-06T00:00:00"/>
    <x v="4"/>
    <d v="1899-12-30T16:10:00"/>
    <x v="4"/>
    <x v="2"/>
    <x v="0"/>
    <x v="0"/>
    <s v="Male"/>
    <x v="0"/>
    <x v="0"/>
    <x v="0"/>
    <s v="Transfer"/>
    <x v="1"/>
    <s v="Mansur"/>
  </r>
  <r>
    <x v="19"/>
    <d v="2026-01-07T00:00:00"/>
    <x v="5"/>
    <d v="1899-12-30T10:15:00"/>
    <x v="1"/>
    <x v="0"/>
    <x v="0"/>
    <x v="1"/>
    <s v="Female"/>
    <x v="1"/>
    <x v="1"/>
    <x v="1"/>
    <s v="Transfer"/>
    <x v="1"/>
    <s v="Chioma"/>
  </r>
  <r>
    <x v="20"/>
    <d v="2026-01-07T00:00:00"/>
    <x v="5"/>
    <d v="1899-12-30T13:20:00"/>
    <x v="6"/>
    <x v="1"/>
    <x v="0"/>
    <x v="2"/>
    <s v="Male"/>
    <x v="0"/>
    <x v="0"/>
    <x v="0"/>
    <s v="Cash"/>
    <x v="1"/>
    <s v="John"/>
  </r>
  <r>
    <x v="21"/>
    <d v="2026-01-07T00:00:00"/>
    <x v="5"/>
    <d v="1899-12-30T15:50:00"/>
    <x v="8"/>
    <x v="1"/>
    <x v="0"/>
    <x v="3"/>
    <s v="Female"/>
    <x v="6"/>
    <x v="3"/>
    <x v="7"/>
    <s v="POS"/>
    <x v="0"/>
    <s v="Aisha"/>
  </r>
  <r>
    <x v="22"/>
    <d v="2026-01-08T00:00:00"/>
    <x v="6"/>
    <d v="1899-12-30T09:10:00"/>
    <x v="0"/>
    <x v="0"/>
    <x v="0"/>
    <x v="0"/>
    <s v="Male"/>
    <x v="0"/>
    <x v="0"/>
    <x v="0"/>
    <s v="Transfer"/>
    <x v="0"/>
    <s v="Mansur"/>
  </r>
  <r>
    <x v="23"/>
    <d v="2026-01-08T00:00:00"/>
    <x v="6"/>
    <d v="1899-12-30T11:45:00"/>
    <x v="5"/>
    <x v="0"/>
    <x v="0"/>
    <x v="1"/>
    <s v="Female"/>
    <x v="5"/>
    <x v="1"/>
    <x v="6"/>
    <s v="POS"/>
    <x v="1"/>
    <s v="Chioma"/>
  </r>
  <r>
    <x v="24"/>
    <d v="2026-01-08T00:00:00"/>
    <x v="6"/>
    <d v="1899-12-30T14:00:00"/>
    <x v="3"/>
    <x v="1"/>
    <x v="0"/>
    <x v="2"/>
    <s v="Male"/>
    <x v="2"/>
    <x v="2"/>
    <x v="2"/>
    <s v="Cash"/>
    <x v="1"/>
    <s v="John"/>
  </r>
  <r>
    <x v="25"/>
    <d v="2026-01-09T00:00:00"/>
    <x v="0"/>
    <d v="1899-12-30T10:00:00"/>
    <x v="1"/>
    <x v="0"/>
    <x v="0"/>
    <x v="1"/>
    <s v="Female"/>
    <x v="1"/>
    <x v="1"/>
    <x v="5"/>
    <s v="Transfer"/>
    <x v="1"/>
    <s v="Chioma"/>
  </r>
  <r>
    <x v="26"/>
    <d v="2026-01-09T00:00:00"/>
    <x v="0"/>
    <d v="1899-12-30T12:30:00"/>
    <x v="2"/>
    <x v="1"/>
    <x v="0"/>
    <x v="0"/>
    <s v="Male"/>
    <x v="0"/>
    <x v="0"/>
    <x v="0"/>
    <s v="POS"/>
    <x v="1"/>
    <s v="Mansur"/>
  </r>
  <r>
    <x v="27"/>
    <d v="2026-01-09T00:00:00"/>
    <x v="0"/>
    <d v="1899-12-30T15:00:00"/>
    <x v="8"/>
    <x v="1"/>
    <x v="0"/>
    <x v="3"/>
    <s v="Female"/>
    <x v="4"/>
    <x v="3"/>
    <x v="4"/>
    <s v="Cash"/>
    <x v="0"/>
    <s v="Aisha"/>
  </r>
  <r>
    <x v="28"/>
    <d v="2026-01-10T00:00:00"/>
    <x v="1"/>
    <d v="1899-12-30T09:30:00"/>
    <x v="0"/>
    <x v="0"/>
    <x v="1"/>
    <x v="2"/>
    <s v="Male"/>
    <x v="0"/>
    <x v="0"/>
    <x v="0"/>
    <s v="Transfer"/>
    <x v="1"/>
    <s v="John"/>
  </r>
  <r>
    <x v="29"/>
    <d v="2026-01-10T00:00:00"/>
    <x v="1"/>
    <d v="1899-12-30T11:00:00"/>
    <x v="5"/>
    <x v="0"/>
    <x v="1"/>
    <x v="1"/>
    <s v="Female"/>
    <x v="3"/>
    <x v="1"/>
    <x v="3"/>
    <s v="POS"/>
    <x v="1"/>
    <s v="Chioma"/>
  </r>
  <r>
    <x v="30"/>
    <d v="2026-01-10T00:00:00"/>
    <x v="1"/>
    <d v="1899-12-30T13:20:00"/>
    <x v="6"/>
    <x v="1"/>
    <x v="1"/>
    <x v="0"/>
    <s v="Male"/>
    <x v="0"/>
    <x v="0"/>
    <x v="0"/>
    <s v="Cash"/>
    <x v="1"/>
    <s v="Mansur"/>
  </r>
  <r>
    <x v="31"/>
    <d v="2026-01-10T00:00:00"/>
    <x v="1"/>
    <d v="1899-12-30T17:30:00"/>
    <x v="7"/>
    <x v="2"/>
    <x v="1"/>
    <x v="1"/>
    <s v="Female"/>
    <x v="5"/>
    <x v="1"/>
    <x v="6"/>
    <s v="Transfer"/>
    <x v="0"/>
    <s v="Chioma"/>
  </r>
  <r>
    <x v="32"/>
    <d v="2026-01-11T00:00:00"/>
    <x v="2"/>
    <d v="1899-12-30T10:10:00"/>
    <x v="1"/>
    <x v="0"/>
    <x v="1"/>
    <x v="0"/>
    <s v="Male"/>
    <x v="0"/>
    <x v="0"/>
    <x v="0"/>
    <s v="POS"/>
    <x v="1"/>
    <s v="Mansur"/>
  </r>
  <r>
    <x v="33"/>
    <d v="2026-01-11T00:00:00"/>
    <x v="2"/>
    <d v="1899-12-30T12:45:00"/>
    <x v="2"/>
    <x v="1"/>
    <x v="1"/>
    <x v="3"/>
    <s v="Female"/>
    <x v="6"/>
    <x v="3"/>
    <x v="7"/>
    <s v="Transfer"/>
    <x v="1"/>
    <s v="Aisha"/>
  </r>
  <r>
    <x v="34"/>
    <d v="2026-01-11T00:00:00"/>
    <x v="2"/>
    <d v="1899-12-30T14:50:00"/>
    <x v="3"/>
    <x v="1"/>
    <x v="1"/>
    <x v="2"/>
    <s v="Male"/>
    <x v="2"/>
    <x v="2"/>
    <x v="2"/>
    <s v="Cash"/>
    <x v="1"/>
    <s v="John"/>
  </r>
  <r>
    <x v="35"/>
    <d v="2026-01-12T00:00:00"/>
    <x v="3"/>
    <d v="1899-12-30T11:00:00"/>
    <x v="5"/>
    <x v="0"/>
    <x v="0"/>
    <x v="1"/>
    <s v="Female"/>
    <x v="1"/>
    <x v="1"/>
    <x v="8"/>
    <s v="Transfer"/>
    <x v="0"/>
    <s v="Chioma"/>
  </r>
  <r>
    <x v="36"/>
    <d v="2026-01-12T00:00:00"/>
    <x v="3"/>
    <d v="1899-12-30T13:10:00"/>
    <x v="6"/>
    <x v="1"/>
    <x v="0"/>
    <x v="0"/>
    <s v="Male"/>
    <x v="0"/>
    <x v="0"/>
    <x v="0"/>
    <s v="POS"/>
    <x v="1"/>
    <s v="Mansur"/>
  </r>
  <r>
    <x v="37"/>
    <d v="2026-01-12T00:00:00"/>
    <x v="3"/>
    <d v="1899-12-30T15:40:00"/>
    <x v="8"/>
    <x v="1"/>
    <x v="0"/>
    <x v="1"/>
    <s v="Female"/>
    <x v="7"/>
    <x v="1"/>
    <x v="9"/>
    <s v="Transfer"/>
    <x v="1"/>
    <s v="Chioma"/>
  </r>
  <r>
    <x v="38"/>
    <d v="2026-01-13T00:00:00"/>
    <x v="4"/>
    <d v="1899-12-30T09:20:00"/>
    <x v="0"/>
    <x v="0"/>
    <x v="0"/>
    <x v="2"/>
    <s v="Male"/>
    <x v="0"/>
    <x v="0"/>
    <x v="0"/>
    <s v="Cash"/>
    <x v="0"/>
    <s v="John"/>
  </r>
  <r>
    <x v="39"/>
    <d v="2026-01-13T00:00:00"/>
    <x v="4"/>
    <d v="1899-12-30T12:10:00"/>
    <x v="2"/>
    <x v="1"/>
    <x v="0"/>
    <x v="3"/>
    <s v="Female"/>
    <x v="4"/>
    <x v="3"/>
    <x v="4"/>
    <s v="POS"/>
    <x v="1"/>
    <s v="Aisha"/>
  </r>
  <r>
    <x v="40"/>
    <d v="2026-01-13T00:00:00"/>
    <x v="4"/>
    <d v="1899-12-30T16:00:00"/>
    <x v="4"/>
    <x v="2"/>
    <x v="0"/>
    <x v="0"/>
    <s v="Male"/>
    <x v="0"/>
    <x v="0"/>
    <x v="0"/>
    <s v="Transfer"/>
    <x v="1"/>
    <s v="Mansur"/>
  </r>
  <r>
    <x v="41"/>
    <d v="2026-01-14T00:00:00"/>
    <x v="5"/>
    <d v="1899-12-30T10:30:00"/>
    <x v="1"/>
    <x v="0"/>
    <x v="0"/>
    <x v="1"/>
    <s v="Female"/>
    <x v="1"/>
    <x v="1"/>
    <x v="1"/>
    <s v="Transfer"/>
    <x v="1"/>
    <s v="Chioma"/>
  </r>
  <r>
    <x v="42"/>
    <d v="2026-01-14T00:00:00"/>
    <x v="5"/>
    <d v="1899-12-30T13:15:00"/>
    <x v="6"/>
    <x v="1"/>
    <x v="0"/>
    <x v="2"/>
    <s v="Male"/>
    <x v="0"/>
    <x v="0"/>
    <x v="0"/>
    <s v="Cash"/>
    <x v="1"/>
    <s v="John"/>
  </r>
  <r>
    <x v="43"/>
    <d v="2026-01-14T00:00:00"/>
    <x v="5"/>
    <d v="1899-12-30T15:45:00"/>
    <x v="8"/>
    <x v="1"/>
    <x v="0"/>
    <x v="3"/>
    <s v="Female"/>
    <x v="6"/>
    <x v="3"/>
    <x v="7"/>
    <s v="POS"/>
    <x v="0"/>
    <s v="Aisha"/>
  </r>
  <r>
    <x v="44"/>
    <d v="2026-01-15T00:00:00"/>
    <x v="6"/>
    <d v="1899-12-30T09:25:00"/>
    <x v="0"/>
    <x v="0"/>
    <x v="0"/>
    <x v="0"/>
    <s v="Male"/>
    <x v="0"/>
    <x v="0"/>
    <x v="0"/>
    <s v="Transfer"/>
    <x v="0"/>
    <s v="Mansur"/>
  </r>
  <r>
    <x v="45"/>
    <d v="2026-01-15T00:00:00"/>
    <x v="6"/>
    <d v="1899-12-30T11:50:00"/>
    <x v="5"/>
    <x v="0"/>
    <x v="0"/>
    <x v="1"/>
    <s v="Female"/>
    <x v="5"/>
    <x v="1"/>
    <x v="6"/>
    <s v="POS"/>
    <x v="1"/>
    <s v="Chioma"/>
  </r>
  <r>
    <x v="46"/>
    <d v="2026-01-15T00:00:00"/>
    <x v="6"/>
    <d v="1899-12-30T14:10:00"/>
    <x v="3"/>
    <x v="1"/>
    <x v="0"/>
    <x v="2"/>
    <s v="Male"/>
    <x v="2"/>
    <x v="2"/>
    <x v="2"/>
    <s v="Cash"/>
    <x v="1"/>
    <s v="John"/>
  </r>
  <r>
    <x v="47"/>
    <d v="2026-01-16T00:00:00"/>
    <x v="0"/>
    <d v="1899-12-30T10:05:00"/>
    <x v="1"/>
    <x v="0"/>
    <x v="0"/>
    <x v="1"/>
    <s v="Female"/>
    <x v="1"/>
    <x v="1"/>
    <x v="5"/>
    <s v="Transfer"/>
    <x v="1"/>
    <s v="Chioma"/>
  </r>
  <r>
    <x v="48"/>
    <d v="2026-01-16T00:00:00"/>
    <x v="0"/>
    <d v="1899-12-30T12:40:00"/>
    <x v="2"/>
    <x v="1"/>
    <x v="0"/>
    <x v="0"/>
    <s v="Male"/>
    <x v="0"/>
    <x v="0"/>
    <x v="0"/>
    <s v="POS"/>
    <x v="1"/>
    <s v="Mansur"/>
  </r>
  <r>
    <x v="49"/>
    <d v="2026-01-16T00:00:00"/>
    <x v="0"/>
    <d v="1899-12-30T15:20:00"/>
    <x v="8"/>
    <x v="1"/>
    <x v="0"/>
    <x v="3"/>
    <s v="Female"/>
    <x v="4"/>
    <x v="3"/>
    <x v="4"/>
    <s v="Cash"/>
    <x v="0"/>
    <s v="Ais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1" firstHeaderRow="0" firstDataRow="1" firstDataCol="1" rowPageCount="1" colPageCount="1"/>
  <pivotFields count="15">
    <pivotField dataField="1" showAll="0"/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numFmtId="164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unt of Transaction_ID" fld="0" subtotal="count" baseField="0" baseItem="0"/>
    <dataField name="Sum of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5">
    <pivotField dataField="1" showAll="0"/>
    <pivotField numFmtId="14" showAll="0"/>
    <pivotField showAll="0"/>
    <pivotField numFmtId="164" showAll="0"/>
    <pivotField showAll="0">
      <items count="10">
        <item x="0"/>
        <item x="1"/>
        <item x="5"/>
        <item x="2"/>
        <item x="6"/>
        <item x="3"/>
        <item x="8"/>
        <item x="4"/>
        <item x="7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5">
    <pivotField showAll="0"/>
    <pivotField numFmtId="14"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0"/>
        <item x="6"/>
        <item x="4"/>
        <item x="3"/>
        <item x="7"/>
        <item x="5"/>
        <item t="default"/>
      </items>
    </pivotField>
    <pivotField showAll="0"/>
    <pivotField dataField="1" numFmtId="4" showAll="0">
      <items count="11">
        <item x="2"/>
        <item x="0"/>
        <item x="7"/>
        <item x="4"/>
        <item x="6"/>
        <item x="1"/>
        <item x="8"/>
        <item x="5"/>
        <item x="9"/>
        <item x="3"/>
        <item t="default"/>
      </items>
    </pivotField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3" firstHeaderRow="1" firstDataRow="2" firstDataCol="1"/>
  <pivotFields count="15">
    <pivotField showAll="0"/>
    <pivotField numFmtId="14" showAll="0"/>
    <pivotField showAll="0"/>
    <pivotField numFmtId="164" showAll="0"/>
    <pivotField showAll="0"/>
    <pivotField showAll="0"/>
    <pivotField showAll="0"/>
    <pivotField dataField="1" showAll="0"/>
    <pivotField showAll="0"/>
    <pivotField axis="axisRow" showAll="0">
      <items count="9">
        <item x="2"/>
        <item x="1"/>
        <item x="0"/>
        <item x="6"/>
        <item x="4"/>
        <item x="3"/>
        <item x="7"/>
        <item x="5"/>
        <item t="default"/>
      </items>
    </pivotField>
    <pivotField showAll="0"/>
    <pivotField numFmtId="4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_I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51" totalsRowShown="0" headerRowDxfId="6">
  <autoFilter ref="A1:O51"/>
  <tableColumns count="15">
    <tableColumn id="1" name="Transaction_ID"/>
    <tableColumn id="2" name="Date" dataDxfId="5"/>
    <tableColumn id="3" name="Day_of_Week"/>
    <tableColumn id="4" name="Time" dataDxfId="4"/>
    <tableColumn id="13" name="Hour" dataDxfId="3">
      <calculatedColumnFormula>HOUR(D2)</calculatedColumnFormula>
    </tableColumn>
    <tableColumn id="14" name="Time_Bucket" dataDxfId="2">
      <calculatedColumnFormula>IF(E2&lt;12,"Morning",IF(E2&lt;16,"Afternoon","Evening"))</calculatedColumnFormula>
    </tableColumn>
    <tableColumn id="15" name="Week_Type" dataDxfId="1">
      <calculatedColumnFormula>IF(OR(C2="Saturday", C2="Sunday"), "Weekend","Weekday")</calculatedColumnFormula>
    </tableColumn>
    <tableColumn id="5" name="Customer_ID"/>
    <tableColumn id="6" name="Gender"/>
    <tableColumn id="7" name="Service"/>
    <tableColumn id="8" name="Service_Category"/>
    <tableColumn id="9" name="Price" dataDxfId="0"/>
    <tableColumn id="10" name="Payment_Method"/>
    <tableColumn id="11" name="Is_Returning_Customer"/>
    <tableColumn id="12" name="Staff_Assig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2" workbookViewId="0">
      <selection activeCell="A6" sqref="A2:O51"/>
    </sheetView>
  </sheetViews>
  <sheetFormatPr defaultRowHeight="15" x14ac:dyDescent="0.25"/>
  <cols>
    <col min="1" max="1" width="16.42578125" bestFit="1" customWidth="1"/>
    <col min="2" max="2" width="9.7109375" bestFit="1" customWidth="1"/>
    <col min="3" max="3" width="15.85546875" bestFit="1" customWidth="1"/>
    <col min="4" max="4" width="7.7109375" style="4" bestFit="1" customWidth="1"/>
    <col min="5" max="5" width="7.5703125" style="7" bestFit="1" customWidth="1"/>
    <col min="6" max="6" width="14.7109375" style="7" bestFit="1" customWidth="1"/>
    <col min="7" max="7" width="13.85546875" bestFit="1" customWidth="1"/>
    <col min="8" max="8" width="14.7109375" bestFit="1" customWidth="1"/>
    <col min="9" max="9" width="10" bestFit="1" customWidth="1"/>
    <col min="10" max="10" width="17.85546875" style="6" bestFit="1" customWidth="1"/>
    <col min="11" max="11" width="18.7109375" bestFit="1" customWidth="1"/>
    <col min="12" max="12" width="9.140625" bestFit="1" customWidth="1"/>
    <col min="13" max="13" width="19.5703125" bestFit="1" customWidth="1"/>
    <col min="14" max="14" width="24.42578125" bestFit="1" customWidth="1"/>
    <col min="15" max="15" width="16.5703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3" t="s">
        <v>3</v>
      </c>
      <c r="E1" s="8" t="s">
        <v>96</v>
      </c>
      <c r="F1" s="8" t="s">
        <v>97</v>
      </c>
      <c r="G1" s="8" t="s">
        <v>98</v>
      </c>
      <c r="H1" s="2" t="s">
        <v>4</v>
      </c>
      <c r="I1" s="2" t="s">
        <v>5</v>
      </c>
      <c r="J1" s="2" t="s">
        <v>6</v>
      </c>
      <c r="K1" s="2" t="s">
        <v>7</v>
      </c>
      <c r="L1" s="5" t="s">
        <v>8</v>
      </c>
      <c r="M1" s="2" t="s">
        <v>9</v>
      </c>
      <c r="N1" s="2" t="s">
        <v>10</v>
      </c>
      <c r="O1" s="2" t="s">
        <v>11</v>
      </c>
    </row>
    <row r="2" spans="1:15" x14ac:dyDescent="0.25">
      <c r="A2" t="s">
        <v>12</v>
      </c>
      <c r="B2" s="1">
        <v>46024</v>
      </c>
      <c r="C2" t="s">
        <v>13</v>
      </c>
      <c r="D2" s="4">
        <v>0.38541666666666669</v>
      </c>
      <c r="E2" s="7">
        <f t="shared" ref="E2:E33" si="0">HOUR(D2)</f>
        <v>9</v>
      </c>
      <c r="F2" s="7" t="str">
        <f>IF(E2&lt;12,"Morning",IF(E2&lt;16,"Afternoon","Evening"))</f>
        <v>Morning</v>
      </c>
      <c r="G2" s="7" t="str">
        <f t="shared" ref="G2:G51" si="1">IF(OR(C2="Saturday", C2="Sunday"), "Weekend","Weekday")</f>
        <v>Weekday</v>
      </c>
      <c r="H2" t="s">
        <v>14</v>
      </c>
      <c r="I2" t="s">
        <v>15</v>
      </c>
      <c r="J2" t="s">
        <v>16</v>
      </c>
      <c r="K2" t="s">
        <v>17</v>
      </c>
      <c r="L2" s="6">
        <v>3000</v>
      </c>
      <c r="M2" t="s">
        <v>18</v>
      </c>
      <c r="N2" t="s">
        <v>19</v>
      </c>
      <c r="O2" t="s">
        <v>20</v>
      </c>
    </row>
    <row r="3" spans="1:15" x14ac:dyDescent="0.25">
      <c r="A3" t="s">
        <v>21</v>
      </c>
      <c r="B3" s="1">
        <v>46024</v>
      </c>
      <c r="C3" t="s">
        <v>13</v>
      </c>
      <c r="D3" s="4">
        <v>0.4375</v>
      </c>
      <c r="E3" s="7">
        <f t="shared" si="0"/>
        <v>10</v>
      </c>
      <c r="F3" s="7" t="str">
        <f t="shared" ref="F3:F51" si="2">IF(E3&lt;12,"Morning",IF(E3&lt;16,"Afternoon","Evening"))</f>
        <v>Morning</v>
      </c>
      <c r="G3" s="7" t="str">
        <f t="shared" si="1"/>
        <v>Weekday</v>
      </c>
      <c r="H3" t="s">
        <v>35</v>
      </c>
      <c r="I3" t="s">
        <v>23</v>
      </c>
      <c r="J3" t="s">
        <v>24</v>
      </c>
      <c r="K3" t="s">
        <v>25</v>
      </c>
      <c r="L3" s="6">
        <v>8000</v>
      </c>
      <c r="M3" t="s">
        <v>26</v>
      </c>
      <c r="N3" t="s">
        <v>27</v>
      </c>
      <c r="O3" t="s">
        <v>28</v>
      </c>
    </row>
    <row r="4" spans="1:15" x14ac:dyDescent="0.25">
      <c r="A4" t="s">
        <v>29</v>
      </c>
      <c r="B4" s="1">
        <v>46024</v>
      </c>
      <c r="C4" t="s">
        <v>13</v>
      </c>
      <c r="D4" s="4">
        <v>0.5</v>
      </c>
      <c r="E4" s="7">
        <f t="shared" si="0"/>
        <v>12</v>
      </c>
      <c r="F4" s="7" t="str">
        <f t="shared" si="2"/>
        <v>Afternoon</v>
      </c>
      <c r="G4" s="7" t="str">
        <f t="shared" si="1"/>
        <v>Weekday</v>
      </c>
      <c r="H4" t="s">
        <v>30</v>
      </c>
      <c r="I4" t="s">
        <v>15</v>
      </c>
      <c r="J4" t="s">
        <v>31</v>
      </c>
      <c r="K4" t="s">
        <v>32</v>
      </c>
      <c r="L4" s="6">
        <v>1500</v>
      </c>
      <c r="M4" t="s">
        <v>18</v>
      </c>
      <c r="N4" t="s">
        <v>27</v>
      </c>
      <c r="O4" t="s">
        <v>33</v>
      </c>
    </row>
    <row r="5" spans="1:15" x14ac:dyDescent="0.25">
      <c r="A5" t="s">
        <v>34</v>
      </c>
      <c r="B5" s="1">
        <v>46024</v>
      </c>
      <c r="C5" t="s">
        <v>13</v>
      </c>
      <c r="D5" s="4">
        <v>0.59027777777777779</v>
      </c>
      <c r="E5" s="7">
        <f t="shared" si="0"/>
        <v>14</v>
      </c>
      <c r="F5" s="7" t="str">
        <f t="shared" si="2"/>
        <v>Afternoon</v>
      </c>
      <c r="G5" s="7" t="str">
        <f t="shared" si="1"/>
        <v>Weekday</v>
      </c>
      <c r="H5" t="s">
        <v>35</v>
      </c>
      <c r="I5" t="s">
        <v>23</v>
      </c>
      <c r="J5" t="s">
        <v>36</v>
      </c>
      <c r="K5" t="s">
        <v>25</v>
      </c>
      <c r="L5" s="6">
        <v>12000</v>
      </c>
      <c r="M5" t="s">
        <v>26</v>
      </c>
      <c r="N5" t="s">
        <v>19</v>
      </c>
      <c r="O5" t="s">
        <v>28</v>
      </c>
    </row>
    <row r="6" spans="1:15" x14ac:dyDescent="0.25">
      <c r="A6" t="s">
        <v>37</v>
      </c>
      <c r="B6" s="1">
        <v>46024</v>
      </c>
      <c r="C6" t="s">
        <v>13</v>
      </c>
      <c r="D6" s="4">
        <v>0.69791666666666663</v>
      </c>
      <c r="E6" s="7">
        <f t="shared" si="0"/>
        <v>16</v>
      </c>
      <c r="F6" s="7" t="str">
        <f t="shared" si="2"/>
        <v>Evening</v>
      </c>
      <c r="G6" s="7" t="str">
        <f t="shared" si="1"/>
        <v>Weekday</v>
      </c>
      <c r="H6" t="s">
        <v>14</v>
      </c>
      <c r="I6" t="s">
        <v>15</v>
      </c>
      <c r="J6" t="s">
        <v>16</v>
      </c>
      <c r="K6" t="s">
        <v>17</v>
      </c>
      <c r="L6" s="6">
        <v>3000</v>
      </c>
      <c r="M6" t="s">
        <v>38</v>
      </c>
      <c r="N6" t="s">
        <v>27</v>
      </c>
      <c r="O6" t="s">
        <v>20</v>
      </c>
    </row>
    <row r="7" spans="1:15" x14ac:dyDescent="0.25">
      <c r="A7" t="s">
        <v>39</v>
      </c>
      <c r="B7" s="1">
        <v>46025</v>
      </c>
      <c r="C7" t="s">
        <v>40</v>
      </c>
      <c r="D7" s="4">
        <v>0.37847222222222227</v>
      </c>
      <c r="E7" s="7">
        <f t="shared" si="0"/>
        <v>9</v>
      </c>
      <c r="F7" s="7" t="str">
        <f t="shared" si="2"/>
        <v>Morning</v>
      </c>
      <c r="G7" s="7" t="str">
        <f t="shared" si="1"/>
        <v>Weekend</v>
      </c>
      <c r="H7" t="s">
        <v>22</v>
      </c>
      <c r="I7" t="s">
        <v>23</v>
      </c>
      <c r="J7" t="s">
        <v>41</v>
      </c>
      <c r="K7" t="s">
        <v>42</v>
      </c>
      <c r="L7" s="6">
        <v>5000</v>
      </c>
      <c r="M7" t="s">
        <v>26</v>
      </c>
      <c r="N7" t="s">
        <v>27</v>
      </c>
      <c r="O7" t="s">
        <v>43</v>
      </c>
    </row>
    <row r="8" spans="1:15" x14ac:dyDescent="0.25">
      <c r="A8" t="s">
        <v>44</v>
      </c>
      <c r="B8" s="1">
        <v>46025</v>
      </c>
      <c r="C8" t="s">
        <v>40</v>
      </c>
      <c r="D8" s="4">
        <v>0.43055555555555558</v>
      </c>
      <c r="E8" s="7">
        <f t="shared" si="0"/>
        <v>10</v>
      </c>
      <c r="F8" s="7" t="str">
        <f t="shared" si="2"/>
        <v>Morning</v>
      </c>
      <c r="G8" s="7" t="str">
        <f t="shared" si="1"/>
        <v>Weekend</v>
      </c>
      <c r="H8" t="s">
        <v>30</v>
      </c>
      <c r="I8" t="s">
        <v>15</v>
      </c>
      <c r="J8" t="s">
        <v>16</v>
      </c>
      <c r="K8" t="s">
        <v>17</v>
      </c>
      <c r="L8" s="6">
        <v>3000</v>
      </c>
      <c r="M8" t="s">
        <v>18</v>
      </c>
      <c r="N8" t="s">
        <v>19</v>
      </c>
      <c r="O8" t="s">
        <v>33</v>
      </c>
    </row>
    <row r="9" spans="1:15" x14ac:dyDescent="0.25">
      <c r="A9" t="s">
        <v>45</v>
      </c>
      <c r="B9" s="1">
        <v>46025</v>
      </c>
      <c r="C9" t="s">
        <v>40</v>
      </c>
      <c r="D9" s="4">
        <v>0.49305555555555558</v>
      </c>
      <c r="E9" s="7">
        <f t="shared" si="0"/>
        <v>11</v>
      </c>
      <c r="F9" s="7" t="str">
        <f t="shared" si="2"/>
        <v>Morning</v>
      </c>
      <c r="G9" s="7" t="str">
        <f t="shared" si="1"/>
        <v>Weekend</v>
      </c>
      <c r="H9" t="s">
        <v>35</v>
      </c>
      <c r="I9" t="s">
        <v>23</v>
      </c>
      <c r="J9" t="s">
        <v>24</v>
      </c>
      <c r="K9" t="s">
        <v>25</v>
      </c>
      <c r="L9" s="6">
        <v>9000</v>
      </c>
      <c r="M9" t="s">
        <v>38</v>
      </c>
      <c r="N9" t="s">
        <v>27</v>
      </c>
      <c r="O9" t="s">
        <v>28</v>
      </c>
    </row>
    <row r="10" spans="1:15" x14ac:dyDescent="0.25">
      <c r="A10" t="s">
        <v>46</v>
      </c>
      <c r="B10" s="1">
        <v>46025</v>
      </c>
      <c r="C10" t="s">
        <v>40</v>
      </c>
      <c r="D10" s="4">
        <v>0.5625</v>
      </c>
      <c r="E10" s="7">
        <f t="shared" si="0"/>
        <v>13</v>
      </c>
      <c r="F10" s="7" t="str">
        <f t="shared" si="2"/>
        <v>Afternoon</v>
      </c>
      <c r="G10" s="7" t="str">
        <f t="shared" si="1"/>
        <v>Weekend</v>
      </c>
      <c r="H10" t="s">
        <v>14</v>
      </c>
      <c r="I10" t="s">
        <v>15</v>
      </c>
      <c r="J10" t="s">
        <v>16</v>
      </c>
      <c r="K10" t="s">
        <v>17</v>
      </c>
      <c r="L10" s="6">
        <v>3000</v>
      </c>
      <c r="M10" t="s">
        <v>26</v>
      </c>
      <c r="N10" t="s">
        <v>27</v>
      </c>
      <c r="O10" t="s">
        <v>20</v>
      </c>
    </row>
    <row r="11" spans="1:15" x14ac:dyDescent="0.25">
      <c r="A11" t="s">
        <v>47</v>
      </c>
      <c r="B11" s="1">
        <v>46025</v>
      </c>
      <c r="C11" t="s">
        <v>40</v>
      </c>
      <c r="D11" s="4">
        <v>0.70833333333333337</v>
      </c>
      <c r="E11" s="7">
        <f t="shared" si="0"/>
        <v>17</v>
      </c>
      <c r="F11" s="7" t="str">
        <f t="shared" si="2"/>
        <v>Evening</v>
      </c>
      <c r="G11" s="7" t="str">
        <f t="shared" si="1"/>
        <v>Weekend</v>
      </c>
      <c r="H11" t="s">
        <v>35</v>
      </c>
      <c r="I11" t="s">
        <v>23</v>
      </c>
      <c r="J11" t="s">
        <v>48</v>
      </c>
      <c r="K11" t="s">
        <v>25</v>
      </c>
      <c r="L11" s="6">
        <v>7000</v>
      </c>
      <c r="M11" t="s">
        <v>38</v>
      </c>
      <c r="N11" t="s">
        <v>19</v>
      </c>
      <c r="O11" t="s">
        <v>28</v>
      </c>
    </row>
    <row r="12" spans="1:15" x14ac:dyDescent="0.25">
      <c r="A12" t="s">
        <v>49</v>
      </c>
      <c r="B12" s="1">
        <v>46026</v>
      </c>
      <c r="C12" t="s">
        <v>50</v>
      </c>
      <c r="D12" s="4">
        <v>0.41666666666666669</v>
      </c>
      <c r="E12" s="7">
        <f t="shared" si="0"/>
        <v>10</v>
      </c>
      <c r="F12" s="7" t="str">
        <f t="shared" si="2"/>
        <v>Morning</v>
      </c>
      <c r="G12" s="7" t="str">
        <f t="shared" si="1"/>
        <v>Weekend</v>
      </c>
      <c r="H12" t="s">
        <v>14</v>
      </c>
      <c r="I12" t="s">
        <v>15</v>
      </c>
      <c r="J12" t="s">
        <v>16</v>
      </c>
      <c r="K12" t="s">
        <v>17</v>
      </c>
      <c r="L12" s="6">
        <v>3000</v>
      </c>
      <c r="M12" t="s">
        <v>18</v>
      </c>
      <c r="N12" t="s">
        <v>27</v>
      </c>
      <c r="O12" t="s">
        <v>20</v>
      </c>
    </row>
    <row r="13" spans="1:15" x14ac:dyDescent="0.25">
      <c r="A13" t="s">
        <v>51</v>
      </c>
      <c r="B13" s="1">
        <v>46026</v>
      </c>
      <c r="C13" t="s">
        <v>50</v>
      </c>
      <c r="D13" s="4">
        <v>0.50694444444444442</v>
      </c>
      <c r="E13" s="7">
        <f t="shared" si="0"/>
        <v>12</v>
      </c>
      <c r="F13" s="7" t="str">
        <f t="shared" si="2"/>
        <v>Afternoon</v>
      </c>
      <c r="G13" s="7" t="str">
        <f t="shared" si="1"/>
        <v>Weekend</v>
      </c>
      <c r="H13" t="s">
        <v>22</v>
      </c>
      <c r="I13" t="s">
        <v>23</v>
      </c>
      <c r="J13" t="s">
        <v>52</v>
      </c>
      <c r="K13" t="s">
        <v>42</v>
      </c>
      <c r="L13" s="6">
        <v>4000</v>
      </c>
      <c r="M13" t="s">
        <v>26</v>
      </c>
      <c r="N13" t="s">
        <v>19</v>
      </c>
      <c r="O13" t="s">
        <v>43</v>
      </c>
    </row>
    <row r="14" spans="1:15" x14ac:dyDescent="0.25">
      <c r="A14" t="s">
        <v>53</v>
      </c>
      <c r="B14" s="1">
        <v>46026</v>
      </c>
      <c r="C14" t="s">
        <v>50</v>
      </c>
      <c r="D14" s="4">
        <v>0.60416666666666663</v>
      </c>
      <c r="E14" s="7">
        <f t="shared" si="0"/>
        <v>14</v>
      </c>
      <c r="F14" s="7" t="str">
        <f t="shared" si="2"/>
        <v>Afternoon</v>
      </c>
      <c r="G14" s="7" t="str">
        <f t="shared" si="1"/>
        <v>Weekend</v>
      </c>
      <c r="H14" t="s">
        <v>30</v>
      </c>
      <c r="I14" t="s">
        <v>15</v>
      </c>
      <c r="J14" t="s">
        <v>31</v>
      </c>
      <c r="K14" t="s">
        <v>32</v>
      </c>
      <c r="L14" s="6">
        <v>1500</v>
      </c>
      <c r="M14" t="s">
        <v>18</v>
      </c>
      <c r="N14" t="s">
        <v>27</v>
      </c>
      <c r="O14" t="s">
        <v>33</v>
      </c>
    </row>
    <row r="15" spans="1:15" x14ac:dyDescent="0.25">
      <c r="A15" t="s">
        <v>54</v>
      </c>
      <c r="B15" s="1">
        <v>46027</v>
      </c>
      <c r="C15" t="s">
        <v>55</v>
      </c>
      <c r="D15" s="4">
        <v>0.47222222222222227</v>
      </c>
      <c r="E15" s="7">
        <f t="shared" si="0"/>
        <v>11</v>
      </c>
      <c r="F15" s="7" t="str">
        <f t="shared" si="2"/>
        <v>Morning</v>
      </c>
      <c r="G15" s="7" t="str">
        <f t="shared" si="1"/>
        <v>Weekday</v>
      </c>
      <c r="H15" t="s">
        <v>35</v>
      </c>
      <c r="I15" t="s">
        <v>23</v>
      </c>
      <c r="J15" t="s">
        <v>24</v>
      </c>
      <c r="K15" t="s">
        <v>25</v>
      </c>
      <c r="L15" s="6">
        <v>8500</v>
      </c>
      <c r="M15" t="s">
        <v>26</v>
      </c>
      <c r="N15" t="s">
        <v>19</v>
      </c>
      <c r="O15" t="s">
        <v>28</v>
      </c>
    </row>
    <row r="16" spans="1:15" x14ac:dyDescent="0.25">
      <c r="A16" t="s">
        <v>56</v>
      </c>
      <c r="B16" s="1">
        <v>46027</v>
      </c>
      <c r="C16" t="s">
        <v>55</v>
      </c>
      <c r="D16" s="4">
        <v>0.54166666666666663</v>
      </c>
      <c r="E16" s="7">
        <f t="shared" si="0"/>
        <v>13</v>
      </c>
      <c r="F16" s="7" t="str">
        <f t="shared" si="2"/>
        <v>Afternoon</v>
      </c>
      <c r="G16" s="7" t="str">
        <f t="shared" si="1"/>
        <v>Weekday</v>
      </c>
      <c r="H16" t="s">
        <v>14</v>
      </c>
      <c r="I16" t="s">
        <v>15</v>
      </c>
      <c r="J16" t="s">
        <v>16</v>
      </c>
      <c r="K16" t="s">
        <v>17</v>
      </c>
      <c r="L16" s="6">
        <v>3000</v>
      </c>
      <c r="M16" t="s">
        <v>38</v>
      </c>
      <c r="N16" t="s">
        <v>27</v>
      </c>
      <c r="O16" t="s">
        <v>20</v>
      </c>
    </row>
    <row r="17" spans="1:15" x14ac:dyDescent="0.25">
      <c r="A17" t="s">
        <v>57</v>
      </c>
      <c r="B17" s="1">
        <v>46027</v>
      </c>
      <c r="C17" t="s">
        <v>55</v>
      </c>
      <c r="D17" s="4">
        <v>0.64583333333333337</v>
      </c>
      <c r="E17" s="7">
        <f t="shared" si="0"/>
        <v>15</v>
      </c>
      <c r="F17" s="7" t="str">
        <f t="shared" si="2"/>
        <v>Afternoon</v>
      </c>
      <c r="G17" s="7" t="str">
        <f t="shared" si="1"/>
        <v>Weekday</v>
      </c>
      <c r="H17" t="s">
        <v>35</v>
      </c>
      <c r="I17" t="s">
        <v>23</v>
      </c>
      <c r="J17" t="s">
        <v>58</v>
      </c>
      <c r="K17" t="s">
        <v>25</v>
      </c>
      <c r="L17" s="6">
        <v>11000</v>
      </c>
      <c r="M17" t="s">
        <v>26</v>
      </c>
      <c r="N17" t="s">
        <v>27</v>
      </c>
      <c r="O17" t="s">
        <v>28</v>
      </c>
    </row>
    <row r="18" spans="1:15" x14ac:dyDescent="0.25">
      <c r="A18" t="s">
        <v>59</v>
      </c>
      <c r="B18" s="1">
        <v>46028</v>
      </c>
      <c r="C18" t="s">
        <v>60</v>
      </c>
      <c r="D18" s="4">
        <v>0.40277777777777773</v>
      </c>
      <c r="E18" s="7">
        <f t="shared" si="0"/>
        <v>9</v>
      </c>
      <c r="F18" s="7" t="str">
        <f t="shared" si="2"/>
        <v>Morning</v>
      </c>
      <c r="G18" s="7" t="str">
        <f t="shared" si="1"/>
        <v>Weekday</v>
      </c>
      <c r="H18" t="s">
        <v>30</v>
      </c>
      <c r="I18" t="s">
        <v>15</v>
      </c>
      <c r="J18" t="s">
        <v>16</v>
      </c>
      <c r="K18" t="s">
        <v>17</v>
      </c>
      <c r="L18" s="6">
        <v>3000</v>
      </c>
      <c r="M18" t="s">
        <v>18</v>
      </c>
      <c r="N18" t="s">
        <v>19</v>
      </c>
      <c r="O18" t="s">
        <v>33</v>
      </c>
    </row>
    <row r="19" spans="1:15" x14ac:dyDescent="0.25">
      <c r="A19" t="s">
        <v>61</v>
      </c>
      <c r="B19" s="1">
        <v>46028</v>
      </c>
      <c r="C19" t="s">
        <v>60</v>
      </c>
      <c r="D19" s="4">
        <v>0.5</v>
      </c>
      <c r="E19" s="7">
        <f t="shared" si="0"/>
        <v>12</v>
      </c>
      <c r="F19" s="7" t="str">
        <f t="shared" si="2"/>
        <v>Afternoon</v>
      </c>
      <c r="G19" s="7" t="str">
        <f t="shared" si="1"/>
        <v>Weekday</v>
      </c>
      <c r="H19" t="s">
        <v>22</v>
      </c>
      <c r="I19" t="s">
        <v>23</v>
      </c>
      <c r="J19" t="s">
        <v>41</v>
      </c>
      <c r="K19" t="s">
        <v>42</v>
      </c>
      <c r="L19" s="6">
        <v>5000</v>
      </c>
      <c r="M19" t="s">
        <v>38</v>
      </c>
      <c r="N19" t="s">
        <v>27</v>
      </c>
      <c r="O19" t="s">
        <v>43</v>
      </c>
    </row>
    <row r="20" spans="1:15" x14ac:dyDescent="0.25">
      <c r="A20" t="s">
        <v>62</v>
      </c>
      <c r="B20" s="1">
        <v>46028</v>
      </c>
      <c r="C20" t="s">
        <v>60</v>
      </c>
      <c r="D20" s="4">
        <v>0.67361111111111116</v>
      </c>
      <c r="E20" s="7">
        <f t="shared" si="0"/>
        <v>16</v>
      </c>
      <c r="F20" s="7" t="str">
        <f t="shared" si="2"/>
        <v>Evening</v>
      </c>
      <c r="G20" s="7" t="str">
        <f t="shared" si="1"/>
        <v>Weekday</v>
      </c>
      <c r="H20" t="s">
        <v>14</v>
      </c>
      <c r="I20" t="s">
        <v>15</v>
      </c>
      <c r="J20" t="s">
        <v>16</v>
      </c>
      <c r="K20" t="s">
        <v>17</v>
      </c>
      <c r="L20" s="6">
        <v>3000</v>
      </c>
      <c r="M20" t="s">
        <v>26</v>
      </c>
      <c r="N20" t="s">
        <v>27</v>
      </c>
      <c r="O20" t="s">
        <v>20</v>
      </c>
    </row>
    <row r="21" spans="1:15" x14ac:dyDescent="0.25">
      <c r="A21" t="s">
        <v>63</v>
      </c>
      <c r="B21" s="1">
        <v>46029</v>
      </c>
      <c r="C21" t="s">
        <v>64</v>
      </c>
      <c r="D21" s="4">
        <v>0.42708333333333331</v>
      </c>
      <c r="E21" s="7">
        <f t="shared" si="0"/>
        <v>10</v>
      </c>
      <c r="F21" s="7" t="str">
        <f t="shared" si="2"/>
        <v>Morning</v>
      </c>
      <c r="G21" s="7" t="str">
        <f t="shared" si="1"/>
        <v>Weekday</v>
      </c>
      <c r="H21" t="s">
        <v>35</v>
      </c>
      <c r="I21" t="s">
        <v>23</v>
      </c>
      <c r="J21" t="s">
        <v>24</v>
      </c>
      <c r="K21" t="s">
        <v>25</v>
      </c>
      <c r="L21" s="6">
        <v>8000</v>
      </c>
      <c r="M21" t="s">
        <v>26</v>
      </c>
      <c r="N21" t="s">
        <v>27</v>
      </c>
      <c r="O21" t="s">
        <v>28</v>
      </c>
    </row>
    <row r="22" spans="1:15" x14ac:dyDescent="0.25">
      <c r="A22" t="s">
        <v>65</v>
      </c>
      <c r="B22" s="1">
        <v>46029</v>
      </c>
      <c r="C22" t="s">
        <v>64</v>
      </c>
      <c r="D22" s="4">
        <v>0.55555555555555558</v>
      </c>
      <c r="E22" s="7">
        <f t="shared" si="0"/>
        <v>13</v>
      </c>
      <c r="F22" s="7" t="str">
        <f t="shared" si="2"/>
        <v>Afternoon</v>
      </c>
      <c r="G22" s="7" t="str">
        <f t="shared" si="1"/>
        <v>Weekday</v>
      </c>
      <c r="H22" t="s">
        <v>30</v>
      </c>
      <c r="I22" t="s">
        <v>15</v>
      </c>
      <c r="J22" t="s">
        <v>16</v>
      </c>
      <c r="K22" t="s">
        <v>17</v>
      </c>
      <c r="L22" s="6">
        <v>3000</v>
      </c>
      <c r="M22" t="s">
        <v>18</v>
      </c>
      <c r="N22" t="s">
        <v>27</v>
      </c>
      <c r="O22" t="s">
        <v>33</v>
      </c>
    </row>
    <row r="23" spans="1:15" x14ac:dyDescent="0.25">
      <c r="A23" t="s">
        <v>66</v>
      </c>
      <c r="B23" s="1">
        <v>46029</v>
      </c>
      <c r="C23" t="s">
        <v>64</v>
      </c>
      <c r="D23" s="4">
        <v>0.65972222222222221</v>
      </c>
      <c r="E23" s="7">
        <f t="shared" si="0"/>
        <v>15</v>
      </c>
      <c r="F23" s="7" t="str">
        <f t="shared" si="2"/>
        <v>Afternoon</v>
      </c>
      <c r="G23" s="7" t="str">
        <f t="shared" si="1"/>
        <v>Weekday</v>
      </c>
      <c r="H23" t="s">
        <v>22</v>
      </c>
      <c r="I23" t="s">
        <v>23</v>
      </c>
      <c r="J23" t="s">
        <v>52</v>
      </c>
      <c r="K23" t="s">
        <v>42</v>
      </c>
      <c r="L23" s="6">
        <v>4000</v>
      </c>
      <c r="M23" t="s">
        <v>38</v>
      </c>
      <c r="N23" t="s">
        <v>19</v>
      </c>
      <c r="O23" t="s">
        <v>43</v>
      </c>
    </row>
    <row r="24" spans="1:15" x14ac:dyDescent="0.25">
      <c r="A24" t="s">
        <v>67</v>
      </c>
      <c r="B24" s="1">
        <v>46030</v>
      </c>
      <c r="C24" t="s">
        <v>68</v>
      </c>
      <c r="D24" s="4">
        <v>0.38194444444444442</v>
      </c>
      <c r="E24" s="7">
        <f t="shared" si="0"/>
        <v>9</v>
      </c>
      <c r="F24" s="7" t="str">
        <f t="shared" si="2"/>
        <v>Morning</v>
      </c>
      <c r="G24" s="7" t="str">
        <f t="shared" si="1"/>
        <v>Weekday</v>
      </c>
      <c r="H24" t="s">
        <v>14</v>
      </c>
      <c r="I24" t="s">
        <v>15</v>
      </c>
      <c r="J24" t="s">
        <v>16</v>
      </c>
      <c r="K24" t="s">
        <v>17</v>
      </c>
      <c r="L24" s="6">
        <v>3000</v>
      </c>
      <c r="M24" t="s">
        <v>26</v>
      </c>
      <c r="N24" t="s">
        <v>19</v>
      </c>
      <c r="O24" t="s">
        <v>20</v>
      </c>
    </row>
    <row r="25" spans="1:15" x14ac:dyDescent="0.25">
      <c r="A25" t="s">
        <v>69</v>
      </c>
      <c r="B25" s="1">
        <v>46030</v>
      </c>
      <c r="C25" t="s">
        <v>68</v>
      </c>
      <c r="D25" s="4">
        <v>0.48958333333333331</v>
      </c>
      <c r="E25" s="7">
        <f t="shared" si="0"/>
        <v>11</v>
      </c>
      <c r="F25" s="7" t="str">
        <f t="shared" si="2"/>
        <v>Morning</v>
      </c>
      <c r="G25" s="7" t="str">
        <f t="shared" si="1"/>
        <v>Weekday</v>
      </c>
      <c r="H25" t="s">
        <v>35</v>
      </c>
      <c r="I25" t="s">
        <v>23</v>
      </c>
      <c r="J25" t="s">
        <v>48</v>
      </c>
      <c r="K25" t="s">
        <v>25</v>
      </c>
      <c r="L25" s="6">
        <v>7000</v>
      </c>
      <c r="M25" t="s">
        <v>38</v>
      </c>
      <c r="N25" t="s">
        <v>27</v>
      </c>
      <c r="O25" t="s">
        <v>28</v>
      </c>
    </row>
    <row r="26" spans="1:15" x14ac:dyDescent="0.25">
      <c r="A26" t="s">
        <v>70</v>
      </c>
      <c r="B26" s="1">
        <v>46030</v>
      </c>
      <c r="C26" t="s">
        <v>68</v>
      </c>
      <c r="D26" s="4">
        <v>0.58333333333333337</v>
      </c>
      <c r="E26" s="7">
        <f t="shared" si="0"/>
        <v>14</v>
      </c>
      <c r="F26" s="7" t="str">
        <f t="shared" si="2"/>
        <v>Afternoon</v>
      </c>
      <c r="G26" s="7" t="str">
        <f t="shared" si="1"/>
        <v>Weekday</v>
      </c>
      <c r="H26" t="s">
        <v>30</v>
      </c>
      <c r="I26" t="s">
        <v>15</v>
      </c>
      <c r="J26" t="s">
        <v>31</v>
      </c>
      <c r="K26" t="s">
        <v>32</v>
      </c>
      <c r="L26" s="6">
        <v>1500</v>
      </c>
      <c r="M26" t="s">
        <v>18</v>
      </c>
      <c r="N26" t="s">
        <v>27</v>
      </c>
      <c r="O26" t="s">
        <v>33</v>
      </c>
    </row>
    <row r="27" spans="1:15" x14ac:dyDescent="0.25">
      <c r="A27" t="s">
        <v>71</v>
      </c>
      <c r="B27" s="1">
        <v>46031</v>
      </c>
      <c r="C27" t="s">
        <v>13</v>
      </c>
      <c r="D27" s="4">
        <v>0.41666666666666669</v>
      </c>
      <c r="E27" s="7">
        <f t="shared" si="0"/>
        <v>10</v>
      </c>
      <c r="F27" s="7" t="str">
        <f t="shared" si="2"/>
        <v>Morning</v>
      </c>
      <c r="G27" s="7" t="str">
        <f t="shared" si="1"/>
        <v>Weekday</v>
      </c>
      <c r="H27" t="s">
        <v>35</v>
      </c>
      <c r="I27" t="s">
        <v>23</v>
      </c>
      <c r="J27" t="s">
        <v>24</v>
      </c>
      <c r="K27" t="s">
        <v>25</v>
      </c>
      <c r="L27" s="6">
        <v>9000</v>
      </c>
      <c r="M27" t="s">
        <v>26</v>
      </c>
      <c r="N27" t="s">
        <v>27</v>
      </c>
      <c r="O27" t="s">
        <v>28</v>
      </c>
    </row>
    <row r="28" spans="1:15" x14ac:dyDescent="0.25">
      <c r="A28" t="s">
        <v>72</v>
      </c>
      <c r="B28" s="1">
        <v>46031</v>
      </c>
      <c r="C28" t="s">
        <v>13</v>
      </c>
      <c r="D28" s="4">
        <v>0.52083333333333337</v>
      </c>
      <c r="E28" s="7">
        <f t="shared" si="0"/>
        <v>12</v>
      </c>
      <c r="F28" s="7" t="str">
        <f t="shared" si="2"/>
        <v>Afternoon</v>
      </c>
      <c r="G28" s="7" t="str">
        <f t="shared" si="1"/>
        <v>Weekday</v>
      </c>
      <c r="H28" t="s">
        <v>14</v>
      </c>
      <c r="I28" t="s">
        <v>15</v>
      </c>
      <c r="J28" t="s">
        <v>16</v>
      </c>
      <c r="K28" t="s">
        <v>17</v>
      </c>
      <c r="L28" s="6">
        <v>3000</v>
      </c>
      <c r="M28" t="s">
        <v>38</v>
      </c>
      <c r="N28" t="s">
        <v>27</v>
      </c>
      <c r="O28" t="s">
        <v>20</v>
      </c>
    </row>
    <row r="29" spans="1:15" x14ac:dyDescent="0.25">
      <c r="A29" t="s">
        <v>73</v>
      </c>
      <c r="B29" s="1">
        <v>46031</v>
      </c>
      <c r="C29" t="s">
        <v>13</v>
      </c>
      <c r="D29" s="4">
        <v>0.625</v>
      </c>
      <c r="E29" s="7">
        <f t="shared" si="0"/>
        <v>15</v>
      </c>
      <c r="F29" s="7" t="str">
        <f t="shared" si="2"/>
        <v>Afternoon</v>
      </c>
      <c r="G29" s="7" t="str">
        <f t="shared" si="1"/>
        <v>Weekday</v>
      </c>
      <c r="H29" t="s">
        <v>22</v>
      </c>
      <c r="I29" t="s">
        <v>23</v>
      </c>
      <c r="J29" t="s">
        <v>41</v>
      </c>
      <c r="K29" t="s">
        <v>42</v>
      </c>
      <c r="L29" s="6">
        <v>5000</v>
      </c>
      <c r="M29" t="s">
        <v>18</v>
      </c>
      <c r="N29" t="s">
        <v>19</v>
      </c>
      <c r="O29" t="s">
        <v>43</v>
      </c>
    </row>
    <row r="30" spans="1:15" x14ac:dyDescent="0.25">
      <c r="A30" t="s">
        <v>74</v>
      </c>
      <c r="B30" s="1">
        <v>46032</v>
      </c>
      <c r="C30" t="s">
        <v>40</v>
      </c>
      <c r="D30" s="4">
        <v>0.39583333333333331</v>
      </c>
      <c r="E30" s="7">
        <f t="shared" si="0"/>
        <v>9</v>
      </c>
      <c r="F30" s="7" t="str">
        <f t="shared" si="2"/>
        <v>Morning</v>
      </c>
      <c r="G30" s="7" t="str">
        <f t="shared" si="1"/>
        <v>Weekend</v>
      </c>
      <c r="H30" t="s">
        <v>30</v>
      </c>
      <c r="I30" t="s">
        <v>15</v>
      </c>
      <c r="J30" t="s">
        <v>16</v>
      </c>
      <c r="K30" t="s">
        <v>17</v>
      </c>
      <c r="L30" s="6">
        <v>3000</v>
      </c>
      <c r="M30" t="s">
        <v>26</v>
      </c>
      <c r="N30" t="s">
        <v>27</v>
      </c>
      <c r="O30" t="s">
        <v>33</v>
      </c>
    </row>
    <row r="31" spans="1:15" x14ac:dyDescent="0.25">
      <c r="A31" t="s">
        <v>75</v>
      </c>
      <c r="B31" s="1">
        <v>46032</v>
      </c>
      <c r="C31" t="s">
        <v>40</v>
      </c>
      <c r="D31" s="4">
        <v>0.45833333333333331</v>
      </c>
      <c r="E31" s="7">
        <f t="shared" si="0"/>
        <v>11</v>
      </c>
      <c r="F31" s="7" t="str">
        <f t="shared" si="2"/>
        <v>Morning</v>
      </c>
      <c r="G31" s="7" t="str">
        <f t="shared" si="1"/>
        <v>Weekend</v>
      </c>
      <c r="H31" t="s">
        <v>35</v>
      </c>
      <c r="I31" t="s">
        <v>23</v>
      </c>
      <c r="J31" t="s">
        <v>36</v>
      </c>
      <c r="K31" t="s">
        <v>25</v>
      </c>
      <c r="L31" s="6">
        <v>12000</v>
      </c>
      <c r="M31" t="s">
        <v>38</v>
      </c>
      <c r="N31" t="s">
        <v>27</v>
      </c>
      <c r="O31" t="s">
        <v>28</v>
      </c>
    </row>
    <row r="32" spans="1:15" x14ac:dyDescent="0.25">
      <c r="A32" t="s">
        <v>76</v>
      </c>
      <c r="B32" s="1">
        <v>46032</v>
      </c>
      <c r="C32" t="s">
        <v>40</v>
      </c>
      <c r="D32" s="4">
        <v>0.55555555555555558</v>
      </c>
      <c r="E32" s="7">
        <f t="shared" si="0"/>
        <v>13</v>
      </c>
      <c r="F32" s="7" t="str">
        <f t="shared" si="2"/>
        <v>Afternoon</v>
      </c>
      <c r="G32" s="7" t="str">
        <f t="shared" si="1"/>
        <v>Weekend</v>
      </c>
      <c r="H32" t="s">
        <v>14</v>
      </c>
      <c r="I32" t="s">
        <v>15</v>
      </c>
      <c r="J32" t="s">
        <v>16</v>
      </c>
      <c r="K32" t="s">
        <v>17</v>
      </c>
      <c r="L32" s="6">
        <v>3000</v>
      </c>
      <c r="M32" t="s">
        <v>18</v>
      </c>
      <c r="N32" t="s">
        <v>27</v>
      </c>
      <c r="O32" t="s">
        <v>20</v>
      </c>
    </row>
    <row r="33" spans="1:15" x14ac:dyDescent="0.25">
      <c r="A33" t="s">
        <v>77</v>
      </c>
      <c r="B33" s="1">
        <v>46032</v>
      </c>
      <c r="C33" t="s">
        <v>40</v>
      </c>
      <c r="D33" s="4">
        <v>0.72916666666666663</v>
      </c>
      <c r="E33" s="7">
        <f t="shared" si="0"/>
        <v>17</v>
      </c>
      <c r="F33" s="7" t="str">
        <f t="shared" si="2"/>
        <v>Evening</v>
      </c>
      <c r="G33" s="7" t="str">
        <f t="shared" si="1"/>
        <v>Weekend</v>
      </c>
      <c r="H33" t="s">
        <v>35</v>
      </c>
      <c r="I33" t="s">
        <v>23</v>
      </c>
      <c r="J33" t="s">
        <v>48</v>
      </c>
      <c r="K33" t="s">
        <v>25</v>
      </c>
      <c r="L33" s="6">
        <v>7000</v>
      </c>
      <c r="M33" t="s">
        <v>26</v>
      </c>
      <c r="N33" t="s">
        <v>19</v>
      </c>
      <c r="O33" t="s">
        <v>28</v>
      </c>
    </row>
    <row r="34" spans="1:15" x14ac:dyDescent="0.25">
      <c r="A34" t="s">
        <v>78</v>
      </c>
      <c r="B34" s="1">
        <v>46033</v>
      </c>
      <c r="C34" t="s">
        <v>50</v>
      </c>
      <c r="D34" s="4">
        <v>0.4236111111111111</v>
      </c>
      <c r="E34" s="7">
        <f t="shared" ref="E34:E51" si="3">HOUR(D34)</f>
        <v>10</v>
      </c>
      <c r="F34" s="7" t="str">
        <f t="shared" si="2"/>
        <v>Morning</v>
      </c>
      <c r="G34" s="7" t="str">
        <f t="shared" si="1"/>
        <v>Weekend</v>
      </c>
      <c r="H34" t="s">
        <v>14</v>
      </c>
      <c r="I34" t="s">
        <v>15</v>
      </c>
      <c r="J34" t="s">
        <v>16</v>
      </c>
      <c r="K34" t="s">
        <v>17</v>
      </c>
      <c r="L34" s="6">
        <v>3000</v>
      </c>
      <c r="M34" t="s">
        <v>38</v>
      </c>
      <c r="N34" t="s">
        <v>27</v>
      </c>
      <c r="O34" t="s">
        <v>20</v>
      </c>
    </row>
    <row r="35" spans="1:15" x14ac:dyDescent="0.25">
      <c r="A35" t="s">
        <v>79</v>
      </c>
      <c r="B35" s="1">
        <v>46033</v>
      </c>
      <c r="C35" t="s">
        <v>50</v>
      </c>
      <c r="D35" s="4">
        <v>0.53125</v>
      </c>
      <c r="E35" s="7">
        <f t="shared" si="3"/>
        <v>12</v>
      </c>
      <c r="F35" s="7" t="str">
        <f t="shared" si="2"/>
        <v>Afternoon</v>
      </c>
      <c r="G35" s="7" t="str">
        <f t="shared" si="1"/>
        <v>Weekend</v>
      </c>
      <c r="H35" t="s">
        <v>22</v>
      </c>
      <c r="I35" t="s">
        <v>23</v>
      </c>
      <c r="J35" t="s">
        <v>52</v>
      </c>
      <c r="K35" t="s">
        <v>42</v>
      </c>
      <c r="L35" s="6">
        <v>4000</v>
      </c>
      <c r="M35" t="s">
        <v>26</v>
      </c>
      <c r="N35" t="s">
        <v>27</v>
      </c>
      <c r="O35" t="s">
        <v>43</v>
      </c>
    </row>
    <row r="36" spans="1:15" x14ac:dyDescent="0.25">
      <c r="A36" t="s">
        <v>80</v>
      </c>
      <c r="B36" s="1">
        <v>46033</v>
      </c>
      <c r="C36" t="s">
        <v>50</v>
      </c>
      <c r="D36" s="4">
        <v>0.61805555555555558</v>
      </c>
      <c r="E36" s="7">
        <f t="shared" si="3"/>
        <v>14</v>
      </c>
      <c r="F36" s="7" t="str">
        <f t="shared" si="2"/>
        <v>Afternoon</v>
      </c>
      <c r="G36" s="7" t="str">
        <f t="shared" si="1"/>
        <v>Weekend</v>
      </c>
      <c r="H36" t="s">
        <v>30</v>
      </c>
      <c r="I36" t="s">
        <v>15</v>
      </c>
      <c r="J36" t="s">
        <v>31</v>
      </c>
      <c r="K36" t="s">
        <v>32</v>
      </c>
      <c r="L36" s="6">
        <v>1500</v>
      </c>
      <c r="M36" t="s">
        <v>18</v>
      </c>
      <c r="N36" t="s">
        <v>27</v>
      </c>
      <c r="O36" t="s">
        <v>33</v>
      </c>
    </row>
    <row r="37" spans="1:15" x14ac:dyDescent="0.25">
      <c r="A37" t="s">
        <v>81</v>
      </c>
      <c r="B37" s="1">
        <v>46034</v>
      </c>
      <c r="C37" t="s">
        <v>55</v>
      </c>
      <c r="D37" s="4">
        <v>0.45833333333333331</v>
      </c>
      <c r="E37" s="7">
        <f t="shared" si="3"/>
        <v>11</v>
      </c>
      <c r="F37" s="7" t="str">
        <f t="shared" si="2"/>
        <v>Morning</v>
      </c>
      <c r="G37" s="7" t="str">
        <f t="shared" si="1"/>
        <v>Weekday</v>
      </c>
      <c r="H37" t="s">
        <v>35</v>
      </c>
      <c r="I37" t="s">
        <v>23</v>
      </c>
      <c r="J37" t="s">
        <v>24</v>
      </c>
      <c r="K37" t="s">
        <v>25</v>
      </c>
      <c r="L37" s="6">
        <v>8500</v>
      </c>
      <c r="M37" t="s">
        <v>26</v>
      </c>
      <c r="N37" t="s">
        <v>19</v>
      </c>
      <c r="O37" t="s">
        <v>28</v>
      </c>
    </row>
    <row r="38" spans="1:15" x14ac:dyDescent="0.25">
      <c r="A38" t="s">
        <v>82</v>
      </c>
      <c r="B38" s="1">
        <v>46034</v>
      </c>
      <c r="C38" t="s">
        <v>55</v>
      </c>
      <c r="D38" s="4">
        <v>0.54861111111111105</v>
      </c>
      <c r="E38" s="7">
        <f t="shared" si="3"/>
        <v>13</v>
      </c>
      <c r="F38" s="7" t="str">
        <f t="shared" si="2"/>
        <v>Afternoon</v>
      </c>
      <c r="G38" s="7" t="str">
        <f t="shared" si="1"/>
        <v>Weekday</v>
      </c>
      <c r="H38" t="s">
        <v>14</v>
      </c>
      <c r="I38" t="s">
        <v>15</v>
      </c>
      <c r="J38" t="s">
        <v>16</v>
      </c>
      <c r="K38" t="s">
        <v>17</v>
      </c>
      <c r="L38" s="6">
        <v>3000</v>
      </c>
      <c r="M38" t="s">
        <v>38</v>
      </c>
      <c r="N38" t="s">
        <v>27</v>
      </c>
      <c r="O38" t="s">
        <v>20</v>
      </c>
    </row>
    <row r="39" spans="1:15" x14ac:dyDescent="0.25">
      <c r="A39" t="s">
        <v>83</v>
      </c>
      <c r="B39" s="1">
        <v>46034</v>
      </c>
      <c r="C39" t="s">
        <v>55</v>
      </c>
      <c r="D39" s="4">
        <v>0.65277777777777779</v>
      </c>
      <c r="E39" s="7">
        <f t="shared" si="3"/>
        <v>15</v>
      </c>
      <c r="F39" s="7" t="str">
        <f t="shared" si="2"/>
        <v>Afternoon</v>
      </c>
      <c r="G39" s="7" t="str">
        <f t="shared" si="1"/>
        <v>Weekday</v>
      </c>
      <c r="H39" t="s">
        <v>35</v>
      </c>
      <c r="I39" t="s">
        <v>23</v>
      </c>
      <c r="J39" t="s">
        <v>58</v>
      </c>
      <c r="K39" t="s">
        <v>25</v>
      </c>
      <c r="L39" s="6">
        <v>11000</v>
      </c>
      <c r="M39" t="s">
        <v>26</v>
      </c>
      <c r="N39" t="s">
        <v>27</v>
      </c>
      <c r="O39" t="s">
        <v>28</v>
      </c>
    </row>
    <row r="40" spans="1:15" x14ac:dyDescent="0.25">
      <c r="A40" t="s">
        <v>84</v>
      </c>
      <c r="B40" s="1">
        <v>46035</v>
      </c>
      <c r="C40" t="s">
        <v>60</v>
      </c>
      <c r="D40" s="4">
        <v>0.3888888888888889</v>
      </c>
      <c r="E40" s="7">
        <f t="shared" si="3"/>
        <v>9</v>
      </c>
      <c r="F40" s="7" t="str">
        <f t="shared" si="2"/>
        <v>Morning</v>
      </c>
      <c r="G40" s="7" t="str">
        <f t="shared" si="1"/>
        <v>Weekday</v>
      </c>
      <c r="H40" t="s">
        <v>30</v>
      </c>
      <c r="I40" t="s">
        <v>15</v>
      </c>
      <c r="J40" t="s">
        <v>16</v>
      </c>
      <c r="K40" t="s">
        <v>17</v>
      </c>
      <c r="L40" s="6">
        <v>3000</v>
      </c>
      <c r="M40" t="s">
        <v>18</v>
      </c>
      <c r="N40" t="s">
        <v>19</v>
      </c>
      <c r="O40" t="s">
        <v>33</v>
      </c>
    </row>
    <row r="41" spans="1:15" x14ac:dyDescent="0.25">
      <c r="A41" t="s">
        <v>85</v>
      </c>
      <c r="B41" s="1">
        <v>46035</v>
      </c>
      <c r="C41" t="s">
        <v>60</v>
      </c>
      <c r="D41" s="4">
        <v>0.50694444444444442</v>
      </c>
      <c r="E41" s="7">
        <f t="shared" si="3"/>
        <v>12</v>
      </c>
      <c r="F41" s="7" t="str">
        <f t="shared" si="2"/>
        <v>Afternoon</v>
      </c>
      <c r="G41" s="7" t="str">
        <f t="shared" si="1"/>
        <v>Weekday</v>
      </c>
      <c r="H41" t="s">
        <v>22</v>
      </c>
      <c r="I41" t="s">
        <v>23</v>
      </c>
      <c r="J41" t="s">
        <v>41</v>
      </c>
      <c r="K41" t="s">
        <v>42</v>
      </c>
      <c r="L41" s="6">
        <v>5000</v>
      </c>
      <c r="M41" t="s">
        <v>38</v>
      </c>
      <c r="N41" t="s">
        <v>27</v>
      </c>
      <c r="O41" t="s">
        <v>43</v>
      </c>
    </row>
    <row r="42" spans="1:15" x14ac:dyDescent="0.25">
      <c r="A42" t="s">
        <v>86</v>
      </c>
      <c r="B42" s="1">
        <v>46035</v>
      </c>
      <c r="C42" t="s">
        <v>60</v>
      </c>
      <c r="D42" s="4">
        <v>0.66666666666666663</v>
      </c>
      <c r="E42" s="7">
        <f t="shared" si="3"/>
        <v>16</v>
      </c>
      <c r="F42" s="7" t="str">
        <f t="shared" si="2"/>
        <v>Evening</v>
      </c>
      <c r="G42" s="7" t="str">
        <f t="shared" si="1"/>
        <v>Weekday</v>
      </c>
      <c r="H42" t="s">
        <v>14</v>
      </c>
      <c r="I42" t="s">
        <v>15</v>
      </c>
      <c r="J42" t="s">
        <v>16</v>
      </c>
      <c r="K42" t="s">
        <v>17</v>
      </c>
      <c r="L42" s="6">
        <v>3000</v>
      </c>
      <c r="M42" t="s">
        <v>26</v>
      </c>
      <c r="N42" t="s">
        <v>27</v>
      </c>
      <c r="O42" t="s">
        <v>20</v>
      </c>
    </row>
    <row r="43" spans="1:15" x14ac:dyDescent="0.25">
      <c r="A43" t="s">
        <v>87</v>
      </c>
      <c r="B43" s="1">
        <v>46036</v>
      </c>
      <c r="C43" t="s">
        <v>64</v>
      </c>
      <c r="D43" s="4">
        <v>0.4375</v>
      </c>
      <c r="E43" s="7">
        <f t="shared" si="3"/>
        <v>10</v>
      </c>
      <c r="F43" s="7" t="str">
        <f t="shared" si="2"/>
        <v>Morning</v>
      </c>
      <c r="G43" s="7" t="str">
        <f t="shared" si="1"/>
        <v>Weekday</v>
      </c>
      <c r="H43" t="s">
        <v>35</v>
      </c>
      <c r="I43" t="s">
        <v>23</v>
      </c>
      <c r="J43" t="s">
        <v>24</v>
      </c>
      <c r="K43" t="s">
        <v>25</v>
      </c>
      <c r="L43" s="6">
        <v>8000</v>
      </c>
      <c r="M43" t="s">
        <v>26</v>
      </c>
      <c r="N43" t="s">
        <v>27</v>
      </c>
      <c r="O43" t="s">
        <v>28</v>
      </c>
    </row>
    <row r="44" spans="1:15" x14ac:dyDescent="0.25">
      <c r="A44" t="s">
        <v>88</v>
      </c>
      <c r="B44" s="1">
        <v>46036</v>
      </c>
      <c r="C44" t="s">
        <v>64</v>
      </c>
      <c r="D44" s="4">
        <v>0.55208333333333337</v>
      </c>
      <c r="E44" s="7">
        <f t="shared" si="3"/>
        <v>13</v>
      </c>
      <c r="F44" s="7" t="str">
        <f t="shared" si="2"/>
        <v>Afternoon</v>
      </c>
      <c r="G44" s="7" t="str">
        <f t="shared" si="1"/>
        <v>Weekday</v>
      </c>
      <c r="H44" t="s">
        <v>30</v>
      </c>
      <c r="I44" t="s">
        <v>15</v>
      </c>
      <c r="J44" t="s">
        <v>16</v>
      </c>
      <c r="K44" t="s">
        <v>17</v>
      </c>
      <c r="L44" s="6">
        <v>3000</v>
      </c>
      <c r="M44" t="s">
        <v>18</v>
      </c>
      <c r="N44" t="s">
        <v>27</v>
      </c>
      <c r="O44" t="s">
        <v>33</v>
      </c>
    </row>
    <row r="45" spans="1:15" x14ac:dyDescent="0.25">
      <c r="A45" t="s">
        <v>89</v>
      </c>
      <c r="B45" s="1">
        <v>46036</v>
      </c>
      <c r="C45" t="s">
        <v>64</v>
      </c>
      <c r="D45" s="4">
        <v>0.65625</v>
      </c>
      <c r="E45" s="7">
        <f t="shared" si="3"/>
        <v>15</v>
      </c>
      <c r="F45" s="7" t="str">
        <f t="shared" si="2"/>
        <v>Afternoon</v>
      </c>
      <c r="G45" s="7" t="str">
        <f t="shared" si="1"/>
        <v>Weekday</v>
      </c>
      <c r="H45" t="s">
        <v>22</v>
      </c>
      <c r="I45" t="s">
        <v>23</v>
      </c>
      <c r="J45" t="s">
        <v>52</v>
      </c>
      <c r="K45" t="s">
        <v>42</v>
      </c>
      <c r="L45" s="6">
        <v>4000</v>
      </c>
      <c r="M45" t="s">
        <v>38</v>
      </c>
      <c r="N45" t="s">
        <v>19</v>
      </c>
      <c r="O45" t="s">
        <v>43</v>
      </c>
    </row>
    <row r="46" spans="1:15" x14ac:dyDescent="0.25">
      <c r="A46" t="s">
        <v>90</v>
      </c>
      <c r="B46" s="1">
        <v>46037</v>
      </c>
      <c r="C46" t="s">
        <v>68</v>
      </c>
      <c r="D46" s="4">
        <v>0.3923611111111111</v>
      </c>
      <c r="E46" s="7">
        <f t="shared" si="3"/>
        <v>9</v>
      </c>
      <c r="F46" s="7" t="str">
        <f t="shared" si="2"/>
        <v>Morning</v>
      </c>
      <c r="G46" s="7" t="str">
        <f t="shared" si="1"/>
        <v>Weekday</v>
      </c>
      <c r="H46" t="s">
        <v>14</v>
      </c>
      <c r="I46" t="s">
        <v>15</v>
      </c>
      <c r="J46" t="s">
        <v>16</v>
      </c>
      <c r="K46" t="s">
        <v>17</v>
      </c>
      <c r="L46" s="6">
        <v>3000</v>
      </c>
      <c r="M46" t="s">
        <v>26</v>
      </c>
      <c r="N46" t="s">
        <v>19</v>
      </c>
      <c r="O46" t="s">
        <v>20</v>
      </c>
    </row>
    <row r="47" spans="1:15" x14ac:dyDescent="0.25">
      <c r="A47" t="s">
        <v>91</v>
      </c>
      <c r="B47" s="1">
        <v>46037</v>
      </c>
      <c r="C47" t="s">
        <v>68</v>
      </c>
      <c r="D47" s="4">
        <v>0.49305555555555558</v>
      </c>
      <c r="E47" s="7">
        <f t="shared" si="3"/>
        <v>11</v>
      </c>
      <c r="F47" s="7" t="str">
        <f t="shared" si="2"/>
        <v>Morning</v>
      </c>
      <c r="G47" s="7" t="str">
        <f t="shared" si="1"/>
        <v>Weekday</v>
      </c>
      <c r="H47" t="s">
        <v>35</v>
      </c>
      <c r="I47" t="s">
        <v>23</v>
      </c>
      <c r="J47" t="s">
        <v>48</v>
      </c>
      <c r="K47" t="s">
        <v>25</v>
      </c>
      <c r="L47" s="6">
        <v>7000</v>
      </c>
      <c r="M47" t="s">
        <v>38</v>
      </c>
      <c r="N47" t="s">
        <v>27</v>
      </c>
      <c r="O47" t="s">
        <v>28</v>
      </c>
    </row>
    <row r="48" spans="1:15" x14ac:dyDescent="0.25">
      <c r="A48" t="s">
        <v>92</v>
      </c>
      <c r="B48" s="1">
        <v>46037</v>
      </c>
      <c r="C48" t="s">
        <v>68</v>
      </c>
      <c r="D48" s="4">
        <v>0.59027777777777779</v>
      </c>
      <c r="E48" s="7">
        <f t="shared" si="3"/>
        <v>14</v>
      </c>
      <c r="F48" s="7" t="str">
        <f t="shared" si="2"/>
        <v>Afternoon</v>
      </c>
      <c r="G48" s="7" t="str">
        <f t="shared" si="1"/>
        <v>Weekday</v>
      </c>
      <c r="H48" t="s">
        <v>30</v>
      </c>
      <c r="I48" t="s">
        <v>15</v>
      </c>
      <c r="J48" t="s">
        <v>31</v>
      </c>
      <c r="K48" t="s">
        <v>32</v>
      </c>
      <c r="L48" s="6">
        <v>1500</v>
      </c>
      <c r="M48" t="s">
        <v>18</v>
      </c>
      <c r="N48" t="s">
        <v>27</v>
      </c>
      <c r="O48" t="s">
        <v>33</v>
      </c>
    </row>
    <row r="49" spans="1:15" x14ac:dyDescent="0.25">
      <c r="A49" t="s">
        <v>93</v>
      </c>
      <c r="B49" s="1">
        <v>46038</v>
      </c>
      <c r="C49" t="s">
        <v>13</v>
      </c>
      <c r="D49" s="4">
        <v>0.4201388888888889</v>
      </c>
      <c r="E49" s="7">
        <f t="shared" si="3"/>
        <v>10</v>
      </c>
      <c r="F49" s="7" t="str">
        <f t="shared" si="2"/>
        <v>Morning</v>
      </c>
      <c r="G49" s="7" t="str">
        <f t="shared" si="1"/>
        <v>Weekday</v>
      </c>
      <c r="H49" t="s">
        <v>35</v>
      </c>
      <c r="I49" t="s">
        <v>23</v>
      </c>
      <c r="J49" t="s">
        <v>24</v>
      </c>
      <c r="K49" t="s">
        <v>25</v>
      </c>
      <c r="L49" s="6">
        <v>9000</v>
      </c>
      <c r="M49" t="s">
        <v>26</v>
      </c>
      <c r="N49" t="s">
        <v>27</v>
      </c>
      <c r="O49" t="s">
        <v>28</v>
      </c>
    </row>
    <row r="50" spans="1:15" x14ac:dyDescent="0.25">
      <c r="A50" t="s">
        <v>94</v>
      </c>
      <c r="B50" s="1">
        <v>46038</v>
      </c>
      <c r="C50" t="s">
        <v>13</v>
      </c>
      <c r="D50" s="4">
        <v>0.52777777777777779</v>
      </c>
      <c r="E50" s="7">
        <f t="shared" si="3"/>
        <v>12</v>
      </c>
      <c r="F50" s="7" t="str">
        <f t="shared" si="2"/>
        <v>Afternoon</v>
      </c>
      <c r="G50" s="7" t="str">
        <f t="shared" si="1"/>
        <v>Weekday</v>
      </c>
      <c r="H50" t="s">
        <v>14</v>
      </c>
      <c r="I50" t="s">
        <v>15</v>
      </c>
      <c r="J50" t="s">
        <v>16</v>
      </c>
      <c r="K50" t="s">
        <v>17</v>
      </c>
      <c r="L50" s="6">
        <v>3000</v>
      </c>
      <c r="M50" t="s">
        <v>38</v>
      </c>
      <c r="N50" t="s">
        <v>27</v>
      </c>
      <c r="O50" t="s">
        <v>20</v>
      </c>
    </row>
    <row r="51" spans="1:15" x14ac:dyDescent="0.25">
      <c r="A51" t="s">
        <v>95</v>
      </c>
      <c r="B51" s="1">
        <v>46038</v>
      </c>
      <c r="C51" t="s">
        <v>13</v>
      </c>
      <c r="D51" s="4">
        <v>0.63888888888888895</v>
      </c>
      <c r="E51" s="7">
        <f t="shared" si="3"/>
        <v>15</v>
      </c>
      <c r="F51" s="7" t="str">
        <f t="shared" si="2"/>
        <v>Afternoon</v>
      </c>
      <c r="G51" s="7" t="str">
        <f t="shared" si="1"/>
        <v>Weekday</v>
      </c>
      <c r="H51" t="s">
        <v>22</v>
      </c>
      <c r="I51" t="s">
        <v>23</v>
      </c>
      <c r="J51" t="s">
        <v>41</v>
      </c>
      <c r="K51" t="s">
        <v>42</v>
      </c>
      <c r="L51" s="6">
        <v>5000</v>
      </c>
      <c r="M51" t="s">
        <v>18</v>
      </c>
      <c r="N51" t="s">
        <v>19</v>
      </c>
      <c r="O51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12" bestFit="1" customWidth="1"/>
  </cols>
  <sheetData>
    <row r="1" spans="1:3" x14ac:dyDescent="0.25">
      <c r="A1" s="9" t="s">
        <v>98</v>
      </c>
      <c r="B1" t="s">
        <v>102</v>
      </c>
    </row>
    <row r="3" spans="1:3" x14ac:dyDescent="0.25">
      <c r="A3" s="9" t="s">
        <v>99</v>
      </c>
      <c r="B3" t="s">
        <v>101</v>
      </c>
      <c r="C3" t="s">
        <v>103</v>
      </c>
    </row>
    <row r="4" spans="1:3" x14ac:dyDescent="0.25">
      <c r="A4" s="10" t="s">
        <v>50</v>
      </c>
      <c r="B4" s="7">
        <v>6</v>
      </c>
      <c r="C4" s="7">
        <v>17000</v>
      </c>
    </row>
    <row r="5" spans="1:3" x14ac:dyDescent="0.25">
      <c r="A5" s="10" t="s">
        <v>55</v>
      </c>
      <c r="B5" s="7">
        <v>6</v>
      </c>
      <c r="C5" s="7">
        <v>45000</v>
      </c>
    </row>
    <row r="6" spans="1:3" x14ac:dyDescent="0.25">
      <c r="A6" s="10" t="s">
        <v>60</v>
      </c>
      <c r="B6" s="7">
        <v>6</v>
      </c>
      <c r="C6" s="7">
        <v>22000</v>
      </c>
    </row>
    <row r="7" spans="1:3" x14ac:dyDescent="0.25">
      <c r="A7" s="10" t="s">
        <v>64</v>
      </c>
      <c r="B7" s="7">
        <v>6</v>
      </c>
      <c r="C7" s="7">
        <v>30000</v>
      </c>
    </row>
    <row r="8" spans="1:3" x14ac:dyDescent="0.25">
      <c r="A8" s="10" t="s">
        <v>68</v>
      </c>
      <c r="B8" s="7">
        <v>6</v>
      </c>
      <c r="C8" s="7">
        <v>23000</v>
      </c>
    </row>
    <row r="9" spans="1:3" x14ac:dyDescent="0.25">
      <c r="A9" s="10" t="s">
        <v>13</v>
      </c>
      <c r="B9" s="7">
        <v>11</v>
      </c>
      <c r="C9" s="7">
        <v>61500</v>
      </c>
    </row>
    <row r="10" spans="1:3" x14ac:dyDescent="0.25">
      <c r="A10" s="10" t="s">
        <v>40</v>
      </c>
      <c r="B10" s="7">
        <v>9</v>
      </c>
      <c r="C10" s="7">
        <v>52000</v>
      </c>
    </row>
    <row r="11" spans="1:3" x14ac:dyDescent="0.25">
      <c r="A11" s="10" t="s">
        <v>100</v>
      </c>
      <c r="B11" s="7">
        <v>50</v>
      </c>
      <c r="C11" s="7">
        <v>250500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19" sqref="A19"/>
    </sheetView>
  </sheetViews>
  <sheetFormatPr defaultRowHeight="15" x14ac:dyDescent="0.25"/>
  <cols>
    <col min="1" max="1" width="13.140625" customWidth="1"/>
    <col min="2" max="2" width="22.42578125" bestFit="1" customWidth="1"/>
  </cols>
  <sheetData>
    <row r="3" spans="1:2" x14ac:dyDescent="0.25">
      <c r="A3" s="9" t="s">
        <v>99</v>
      </c>
      <c r="B3" t="s">
        <v>101</v>
      </c>
    </row>
    <row r="4" spans="1:2" x14ac:dyDescent="0.25">
      <c r="A4" s="10" t="s">
        <v>105</v>
      </c>
      <c r="B4" s="7">
        <v>24</v>
      </c>
    </row>
    <row r="5" spans="1:2" x14ac:dyDescent="0.25">
      <c r="A5" s="10" t="s">
        <v>106</v>
      </c>
      <c r="B5" s="7">
        <v>5</v>
      </c>
    </row>
    <row r="6" spans="1:2" x14ac:dyDescent="0.25">
      <c r="A6" s="10" t="s">
        <v>104</v>
      </c>
      <c r="B6" s="7">
        <v>21</v>
      </c>
    </row>
    <row r="7" spans="1:2" x14ac:dyDescent="0.25">
      <c r="A7" s="10" t="s">
        <v>100</v>
      </c>
      <c r="B7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opLeftCell="B1" workbookViewId="0">
      <selection activeCell="A4" sqref="A4"/>
    </sheetView>
  </sheetViews>
  <sheetFormatPr defaultRowHeight="15" x14ac:dyDescent="0.25"/>
  <cols>
    <col min="1" max="1" width="17.85546875" bestFit="1" customWidth="1"/>
    <col min="2" max="2" width="12" customWidth="1"/>
  </cols>
  <sheetData>
    <row r="3" spans="1:2" x14ac:dyDescent="0.25">
      <c r="A3" s="9" t="s">
        <v>99</v>
      </c>
      <c r="B3" t="s">
        <v>103</v>
      </c>
    </row>
    <row r="4" spans="1:2" x14ac:dyDescent="0.25">
      <c r="A4" s="10" t="s">
        <v>31</v>
      </c>
      <c r="B4" s="7">
        <v>7500</v>
      </c>
    </row>
    <row r="5" spans="1:2" x14ac:dyDescent="0.25">
      <c r="A5" s="10" t="s">
        <v>24</v>
      </c>
      <c r="B5" s="7">
        <v>68000</v>
      </c>
    </row>
    <row r="6" spans="1:2" x14ac:dyDescent="0.25">
      <c r="A6" s="10" t="s">
        <v>16</v>
      </c>
      <c r="B6" s="7">
        <v>60000</v>
      </c>
    </row>
    <row r="7" spans="1:2" x14ac:dyDescent="0.25">
      <c r="A7" s="10" t="s">
        <v>52</v>
      </c>
      <c r="B7" s="7">
        <v>16000</v>
      </c>
    </row>
    <row r="8" spans="1:2" x14ac:dyDescent="0.25">
      <c r="A8" s="10" t="s">
        <v>41</v>
      </c>
      <c r="B8" s="7">
        <v>25000</v>
      </c>
    </row>
    <row r="9" spans="1:2" x14ac:dyDescent="0.25">
      <c r="A9" s="10" t="s">
        <v>36</v>
      </c>
      <c r="B9" s="7">
        <v>24000</v>
      </c>
    </row>
    <row r="10" spans="1:2" x14ac:dyDescent="0.25">
      <c r="A10" s="10" t="s">
        <v>58</v>
      </c>
      <c r="B10" s="7">
        <v>22000</v>
      </c>
    </row>
    <row r="11" spans="1:2" x14ac:dyDescent="0.25">
      <c r="A11" s="10" t="s">
        <v>48</v>
      </c>
      <c r="B11" s="7">
        <v>28000</v>
      </c>
    </row>
    <row r="12" spans="1:2" x14ac:dyDescent="0.25">
      <c r="A12" s="10" t="s">
        <v>100</v>
      </c>
      <c r="B12" s="7">
        <v>250500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tabSelected="1" workbookViewId="0">
      <selection activeCell="E22" sqref="E22"/>
    </sheetView>
  </sheetViews>
  <sheetFormatPr defaultRowHeight="15" x14ac:dyDescent="0.25"/>
  <cols>
    <col min="1" max="1" width="20.7109375" customWidth="1"/>
    <col min="2" max="2" width="16.28515625" customWidth="1"/>
    <col min="3" max="3" width="4.140625" customWidth="1"/>
    <col min="4" max="4" width="11.28515625" bestFit="1" customWidth="1"/>
  </cols>
  <sheetData>
    <row r="3" spans="1:4" x14ac:dyDescent="0.25">
      <c r="A3" s="9" t="s">
        <v>108</v>
      </c>
      <c r="B3" s="9" t="s">
        <v>107</v>
      </c>
    </row>
    <row r="4" spans="1:4" x14ac:dyDescent="0.25">
      <c r="A4" s="9" t="s">
        <v>99</v>
      </c>
      <c r="B4" t="s">
        <v>19</v>
      </c>
      <c r="C4" t="s">
        <v>27</v>
      </c>
      <c r="D4" t="s">
        <v>100</v>
      </c>
    </row>
    <row r="5" spans="1:4" x14ac:dyDescent="0.25">
      <c r="A5" s="10" t="s">
        <v>31</v>
      </c>
      <c r="B5" s="7"/>
      <c r="C5" s="7">
        <v>5</v>
      </c>
      <c r="D5" s="7">
        <v>5</v>
      </c>
    </row>
    <row r="6" spans="1:4" x14ac:dyDescent="0.25">
      <c r="A6" s="10" t="s">
        <v>24</v>
      </c>
      <c r="B6" s="7">
        <v>2</v>
      </c>
      <c r="C6" s="7">
        <v>6</v>
      </c>
      <c r="D6" s="7">
        <v>8</v>
      </c>
    </row>
    <row r="7" spans="1:4" x14ac:dyDescent="0.25">
      <c r="A7" s="10" t="s">
        <v>16</v>
      </c>
      <c r="B7" s="7">
        <v>6</v>
      </c>
      <c r="C7" s="7">
        <v>14</v>
      </c>
      <c r="D7" s="7">
        <v>20</v>
      </c>
    </row>
    <row r="8" spans="1:4" x14ac:dyDescent="0.25">
      <c r="A8" s="10" t="s">
        <v>52</v>
      </c>
      <c r="B8" s="7">
        <v>3</v>
      </c>
      <c r="C8" s="7">
        <v>1</v>
      </c>
      <c r="D8" s="7">
        <v>4</v>
      </c>
    </row>
    <row r="9" spans="1:4" x14ac:dyDescent="0.25">
      <c r="A9" s="10" t="s">
        <v>41</v>
      </c>
      <c r="B9" s="7">
        <v>2</v>
      </c>
      <c r="C9" s="7">
        <v>3</v>
      </c>
      <c r="D9" s="7">
        <v>5</v>
      </c>
    </row>
    <row r="10" spans="1:4" x14ac:dyDescent="0.25">
      <c r="A10" s="10" t="s">
        <v>36</v>
      </c>
      <c r="B10" s="7">
        <v>1</v>
      </c>
      <c r="C10" s="7">
        <v>1</v>
      </c>
      <c r="D10" s="7">
        <v>2</v>
      </c>
    </row>
    <row r="11" spans="1:4" x14ac:dyDescent="0.25">
      <c r="A11" s="10" t="s">
        <v>58</v>
      </c>
      <c r="B11" s="7"/>
      <c r="C11" s="7">
        <v>2</v>
      </c>
      <c r="D11" s="7">
        <v>2</v>
      </c>
    </row>
    <row r="12" spans="1:4" x14ac:dyDescent="0.25">
      <c r="A12" s="10" t="s">
        <v>48</v>
      </c>
      <c r="B12" s="7">
        <v>2</v>
      </c>
      <c r="C12" s="7">
        <v>2</v>
      </c>
      <c r="D12" s="7">
        <v>4</v>
      </c>
    </row>
    <row r="13" spans="1:4" x14ac:dyDescent="0.25">
      <c r="A13" s="10" t="s">
        <v>100</v>
      </c>
      <c r="B13" s="7">
        <v>16</v>
      </c>
      <c r="C13" s="7">
        <v>34</v>
      </c>
      <c r="D13" s="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Improving Salon Revenue and Cus</vt:lpstr>
      <vt:lpstr>What day's are the slowest</vt:lpstr>
      <vt:lpstr>when should the salon run promo</vt:lpstr>
      <vt:lpstr>Highest revenue servise</vt:lpstr>
      <vt:lpstr>Increase repeat 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2025-11-01T10:36:02Z</dcterms:created>
  <dcterms:modified xsi:type="dcterms:W3CDTF">2025-11-01T13:47:53Z</dcterms:modified>
</cp:coreProperties>
</file>